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OneDrive_zacharylenz08\OneDrive\Desktop\Investment Club\SMIFC '26\project_2\.Project Submission Files\Analysis Topics\valuation and reccomendation\"/>
    </mc:Choice>
  </mc:AlternateContent>
  <xr:revisionPtr revIDLastSave="0" documentId="13_ncr:1_{C7085FA6-E6D4-4216-B633-C6440C20CA69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Market Data" sheetId="1" r:id="rId1"/>
    <sheet name="Financial Data" sheetId="2" r:id="rId2"/>
    <sheet name="Valuation Multiples" sheetId="3" r:id="rId3"/>
    <sheet name="Implied Valu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4" l="1"/>
  <c r="B26" i="4"/>
  <c r="B24" i="4"/>
  <c r="B30" i="4" s="1"/>
  <c r="B35" i="4" s="1"/>
  <c r="B23" i="4"/>
  <c r="B29" i="4" s="1"/>
  <c r="B34" i="4" s="1"/>
  <c r="B22" i="4"/>
  <c r="B28" i="4" s="1"/>
  <c r="B33" i="4" s="1"/>
  <c r="B20" i="4"/>
  <c r="B19" i="4"/>
  <c r="B18" i="4"/>
  <c r="E31" i="3"/>
  <c r="F31" i="3" s="1"/>
  <c r="F30" i="3"/>
  <c r="E30" i="3"/>
  <c r="E29" i="3"/>
  <c r="F29" i="3" s="1"/>
  <c r="E28" i="3"/>
  <c r="E36" i="3" s="1"/>
  <c r="F27" i="3"/>
  <c r="E27" i="3"/>
  <c r="E26" i="3"/>
  <c r="F26" i="3" s="1"/>
  <c r="E24" i="3"/>
  <c r="F24" i="3" s="1"/>
  <c r="I13" i="3"/>
  <c r="H13" i="3"/>
  <c r="G13" i="3"/>
  <c r="G12" i="3"/>
  <c r="I11" i="3"/>
  <c r="G6" i="3"/>
  <c r="I47" i="2"/>
  <c r="F47" i="2"/>
  <c r="E47" i="2"/>
  <c r="D47" i="2"/>
  <c r="C47" i="2"/>
  <c r="I46" i="2"/>
  <c r="F46" i="2"/>
  <c r="E46" i="2"/>
  <c r="D46" i="2"/>
  <c r="C46" i="2"/>
  <c r="J44" i="2"/>
  <c r="H44" i="2"/>
  <c r="G44" i="2"/>
  <c r="J43" i="2"/>
  <c r="H43" i="2"/>
  <c r="G43" i="2"/>
  <c r="J42" i="2"/>
  <c r="H42" i="2"/>
  <c r="G42" i="2"/>
  <c r="G46" i="2" s="1"/>
  <c r="J41" i="2"/>
  <c r="J47" i="2" s="1"/>
  <c r="H41" i="2"/>
  <c r="H47" i="2" s="1"/>
  <c r="G41" i="2"/>
  <c r="J40" i="2"/>
  <c r="H40" i="2"/>
  <c r="G40" i="2"/>
  <c r="J39" i="2"/>
  <c r="H39" i="2"/>
  <c r="H46" i="2" s="1"/>
  <c r="G39" i="2"/>
  <c r="G47" i="2" s="1"/>
  <c r="J37" i="2"/>
  <c r="H37" i="2"/>
  <c r="G37" i="2"/>
  <c r="J32" i="2"/>
  <c r="I32" i="2"/>
  <c r="H32" i="2"/>
  <c r="G32" i="2"/>
  <c r="E32" i="2"/>
  <c r="C32" i="2"/>
  <c r="J31" i="2"/>
  <c r="I31" i="2"/>
  <c r="H31" i="2"/>
  <c r="G31" i="2"/>
  <c r="F31" i="2"/>
  <c r="E31" i="2"/>
  <c r="C31" i="2"/>
  <c r="F29" i="2"/>
  <c r="D29" i="2"/>
  <c r="F28" i="2"/>
  <c r="D28" i="2"/>
  <c r="F27" i="2"/>
  <c r="D27" i="2"/>
  <c r="F26" i="2"/>
  <c r="D26" i="2"/>
  <c r="F25" i="2"/>
  <c r="F32" i="2" s="1"/>
  <c r="D25" i="2"/>
  <c r="D32" i="2" s="1"/>
  <c r="F24" i="2"/>
  <c r="D24" i="2"/>
  <c r="F22" i="2"/>
  <c r="D22" i="2"/>
  <c r="L18" i="2"/>
  <c r="K18" i="2"/>
  <c r="J18" i="2"/>
  <c r="H18" i="2"/>
  <c r="G18" i="2"/>
  <c r="F18" i="2"/>
  <c r="D18" i="2"/>
  <c r="C18" i="2"/>
  <c r="L17" i="2"/>
  <c r="K17" i="2"/>
  <c r="J17" i="2"/>
  <c r="H17" i="2"/>
  <c r="G17" i="2"/>
  <c r="F17" i="2"/>
  <c r="D17" i="2"/>
  <c r="C17" i="2"/>
  <c r="L16" i="2"/>
  <c r="K16" i="2"/>
  <c r="J16" i="2"/>
  <c r="H16" i="2"/>
  <c r="G16" i="2"/>
  <c r="F16" i="2"/>
  <c r="D16" i="2"/>
  <c r="C16" i="2"/>
  <c r="L15" i="2"/>
  <c r="K15" i="2"/>
  <c r="J15" i="2"/>
  <c r="H15" i="2"/>
  <c r="G15" i="2"/>
  <c r="F15" i="2"/>
  <c r="D15" i="2"/>
  <c r="C15" i="2"/>
  <c r="M13" i="2"/>
  <c r="N13" i="2" s="1"/>
  <c r="I13" i="2"/>
  <c r="G13" i="2"/>
  <c r="E13" i="2"/>
  <c r="M12" i="2"/>
  <c r="I12" i="3" s="1"/>
  <c r="I12" i="2"/>
  <c r="I18" i="2" s="1"/>
  <c r="G12" i="2"/>
  <c r="E12" i="2"/>
  <c r="M11" i="2"/>
  <c r="N11" i="2" s="1"/>
  <c r="I11" i="2"/>
  <c r="G11" i="2"/>
  <c r="E11" i="2"/>
  <c r="M10" i="2"/>
  <c r="N10" i="2" s="1"/>
  <c r="I10" i="2"/>
  <c r="I17" i="2" s="1"/>
  <c r="G10" i="2"/>
  <c r="E10" i="2"/>
  <c r="M9" i="2"/>
  <c r="I9" i="3" s="1"/>
  <c r="I9" i="2"/>
  <c r="G9" i="2"/>
  <c r="E9" i="2"/>
  <c r="M8" i="2"/>
  <c r="M15" i="2" s="1"/>
  <c r="I8" i="2"/>
  <c r="G8" i="2"/>
  <c r="E8" i="2"/>
  <c r="E18" i="2" s="1"/>
  <c r="M6" i="2"/>
  <c r="N6" i="2" s="1"/>
  <c r="I6" i="2"/>
  <c r="G6" i="2"/>
  <c r="E6" i="2"/>
  <c r="I20" i="1"/>
  <c r="H20" i="1"/>
  <c r="G20" i="1"/>
  <c r="F20" i="1"/>
  <c r="D20" i="1"/>
  <c r="C20" i="1"/>
  <c r="I19" i="1"/>
  <c r="H19" i="1"/>
  <c r="G19" i="1"/>
  <c r="F19" i="1"/>
  <c r="D19" i="1"/>
  <c r="C19" i="1"/>
  <c r="I18" i="1"/>
  <c r="H18" i="1"/>
  <c r="G18" i="1"/>
  <c r="F18" i="1"/>
  <c r="D18" i="1"/>
  <c r="C18" i="1"/>
  <c r="I17" i="1"/>
  <c r="H17" i="1"/>
  <c r="G17" i="1"/>
  <c r="F17" i="1"/>
  <c r="D17" i="1"/>
  <c r="C17" i="1"/>
  <c r="J15" i="1"/>
  <c r="E13" i="3" s="1"/>
  <c r="E15" i="1"/>
  <c r="E14" i="1"/>
  <c r="J14" i="1" s="1"/>
  <c r="E13" i="1"/>
  <c r="H11" i="3" s="1"/>
  <c r="E12" i="1"/>
  <c r="J12" i="1" s="1"/>
  <c r="E11" i="1"/>
  <c r="H9" i="3" s="1"/>
  <c r="E10" i="1"/>
  <c r="H8" i="3" s="1"/>
  <c r="J8" i="1"/>
  <c r="C24" i="3" s="1"/>
  <c r="E8" i="1"/>
  <c r="D12" i="3" l="1"/>
  <c r="C12" i="3"/>
  <c r="F12" i="3"/>
  <c r="E12" i="3"/>
  <c r="D30" i="3"/>
  <c r="C30" i="3"/>
  <c r="H16" i="3"/>
  <c r="H15" i="3"/>
  <c r="H18" i="3"/>
  <c r="D28" i="3"/>
  <c r="C28" i="3"/>
  <c r="E10" i="3"/>
  <c r="D10" i="3"/>
  <c r="F10" i="3"/>
  <c r="C10" i="3"/>
  <c r="E20" i="1"/>
  <c r="I8" i="3"/>
  <c r="M17" i="2"/>
  <c r="J46" i="2"/>
  <c r="E18" i="1"/>
  <c r="D31" i="2"/>
  <c r="F13" i="3"/>
  <c r="E34" i="3"/>
  <c r="E37" i="3" s="1"/>
  <c r="N12" i="2"/>
  <c r="C6" i="3"/>
  <c r="G10" i="3"/>
  <c r="E35" i="3"/>
  <c r="J11" i="1"/>
  <c r="D6" i="3"/>
  <c r="H10" i="3"/>
  <c r="H17" i="3" s="1"/>
  <c r="F28" i="3"/>
  <c r="F33" i="3" s="1"/>
  <c r="I16" i="2"/>
  <c r="E6" i="3"/>
  <c r="I10" i="3"/>
  <c r="M16" i="2"/>
  <c r="J13" i="1"/>
  <c r="N8" i="2"/>
  <c r="M18" i="2"/>
  <c r="F6" i="3"/>
  <c r="E19" i="1"/>
  <c r="I6" i="3"/>
  <c r="E15" i="2"/>
  <c r="E17" i="2"/>
  <c r="G11" i="3"/>
  <c r="N9" i="2"/>
  <c r="J10" i="1"/>
  <c r="D24" i="3"/>
  <c r="E17" i="1"/>
  <c r="D31" i="3"/>
  <c r="G8" i="3"/>
  <c r="C31" i="3"/>
  <c r="I15" i="2"/>
  <c r="H12" i="3"/>
  <c r="E33" i="3"/>
  <c r="G9" i="3"/>
  <c r="C13" i="3"/>
  <c r="D13" i="3"/>
  <c r="E16" i="2"/>
  <c r="G17" i="3" l="1"/>
  <c r="G16" i="3"/>
  <c r="G19" i="3" s="1"/>
  <c r="G15" i="3"/>
  <c r="G18" i="3"/>
  <c r="F36" i="3"/>
  <c r="J20" i="1"/>
  <c r="J17" i="1"/>
  <c r="C26" i="3"/>
  <c r="F8" i="3"/>
  <c r="J19" i="1"/>
  <c r="E8" i="3"/>
  <c r="D8" i="3"/>
  <c r="C8" i="3"/>
  <c r="J18" i="1"/>
  <c r="D26" i="3"/>
  <c r="F35" i="3"/>
  <c r="F34" i="3"/>
  <c r="F37" i="3" s="1"/>
  <c r="F11" i="3"/>
  <c r="E11" i="3"/>
  <c r="D11" i="3"/>
  <c r="D29" i="3"/>
  <c r="C11" i="3"/>
  <c r="C29" i="3"/>
  <c r="N18" i="2"/>
  <c r="N16" i="2"/>
  <c r="N17" i="2"/>
  <c r="N15" i="2"/>
  <c r="D27" i="3"/>
  <c r="C27" i="3"/>
  <c r="D9" i="3"/>
  <c r="C9" i="3"/>
  <c r="F9" i="3"/>
  <c r="E9" i="3"/>
  <c r="I16" i="3"/>
  <c r="I19" i="3" s="1"/>
  <c r="I15" i="3"/>
  <c r="I18" i="3"/>
  <c r="I17" i="3"/>
  <c r="D34" i="3" l="1"/>
  <c r="D37" i="3" s="1"/>
  <c r="D33" i="3"/>
  <c r="E10" i="4"/>
  <c r="D10" i="4"/>
  <c r="C10" i="4"/>
  <c r="D36" i="3"/>
  <c r="B10" i="4"/>
  <c r="D35" i="3"/>
  <c r="D16" i="3"/>
  <c r="D19" i="3" s="1"/>
  <c r="D15" i="3"/>
  <c r="D17" i="3"/>
  <c r="D18" i="3"/>
  <c r="C17" i="3"/>
  <c r="C18" i="3"/>
  <c r="E6" i="4"/>
  <c r="D6" i="4"/>
  <c r="C6" i="4"/>
  <c r="C16" i="3"/>
  <c r="C19" i="3" s="1"/>
  <c r="C15" i="3"/>
  <c r="B6" i="4"/>
  <c r="E7" i="4"/>
  <c r="E17" i="3"/>
  <c r="C7" i="4"/>
  <c r="E16" i="3"/>
  <c r="E19" i="3" s="1"/>
  <c r="B7" i="4"/>
  <c r="E15" i="3"/>
  <c r="E18" i="3"/>
  <c r="D7" i="4"/>
  <c r="C8" i="4"/>
  <c r="B8" i="4"/>
  <c r="F17" i="3"/>
  <c r="F16" i="3"/>
  <c r="F19" i="3" s="1"/>
  <c r="F15" i="3"/>
  <c r="F18" i="3"/>
  <c r="D8" i="4"/>
  <c r="E8" i="4"/>
  <c r="C34" i="3"/>
  <c r="C37" i="3" s="1"/>
  <c r="B9" i="4"/>
  <c r="C33" i="3"/>
  <c r="C9" i="4"/>
  <c r="C36" i="3"/>
  <c r="E9" i="4"/>
  <c r="D9" i="4"/>
  <c r="C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000-000001000000}">
      <text>
        <r>
          <rPr>
            <sz val="10"/>
            <rFont val="Arial"/>
            <family val="2"/>
          </rPr>
          <t>Source: LSEG/Yahoo Finance, 3/19/2026</t>
        </r>
      </text>
    </comment>
    <comment ref="D8" authorId="0" shapeId="0" xr:uid="{00000000-0006-0000-0000-000008000000}">
      <text>
        <r>
          <rPr>
            <sz val="10"/>
            <rFont val="Arial"/>
            <family val="2"/>
          </rPr>
          <t>Source: Most recent 10-K/10-Q filing</t>
        </r>
      </text>
    </comment>
    <comment ref="F8" authorId="0" shapeId="0" xr:uid="{00000000-0006-0000-0000-00000F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0" authorId="0" shapeId="0" xr:uid="{00000000-0006-0000-0000-000002000000}">
      <text>
        <r>
          <rPr>
            <sz val="10"/>
            <rFont val="Arial"/>
            <family val="2"/>
          </rPr>
          <t>Source: LSEG/Yahoo Finance, 3/19/2026</t>
        </r>
      </text>
    </comment>
    <comment ref="D10" authorId="0" shapeId="0" xr:uid="{00000000-0006-0000-0000-000009000000}">
      <text>
        <r>
          <rPr>
            <sz val="10"/>
            <rFont val="Arial"/>
            <family val="2"/>
          </rPr>
          <t>Source: Most recent 10-K/10-Q filing</t>
        </r>
      </text>
    </comment>
    <comment ref="F10" authorId="0" shapeId="0" xr:uid="{00000000-0006-0000-0000-000010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1" authorId="0" shapeId="0" xr:uid="{00000000-0006-0000-0000-000003000000}">
      <text>
        <r>
          <rPr>
            <sz val="10"/>
            <rFont val="Arial"/>
            <family val="2"/>
          </rPr>
          <t>Source: LSEG/Yahoo Finance, 3/19/2026</t>
        </r>
      </text>
    </comment>
    <comment ref="D11" authorId="0" shapeId="0" xr:uid="{00000000-0006-0000-0000-00000A000000}">
      <text>
        <r>
          <rPr>
            <sz val="10"/>
            <rFont val="Arial"/>
            <family val="2"/>
          </rPr>
          <t>Source: Most recent 10-K/10-Q filing</t>
        </r>
      </text>
    </comment>
    <comment ref="F11" authorId="0" shapeId="0" xr:uid="{00000000-0006-0000-0000-000011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2" authorId="0" shapeId="0" xr:uid="{00000000-0006-0000-0000-000004000000}">
      <text>
        <r>
          <rPr>
            <sz val="10"/>
            <rFont val="Arial"/>
            <family val="2"/>
          </rPr>
          <t>Source: LSEG/Yahoo Finance, 3/19/2026</t>
        </r>
      </text>
    </comment>
    <comment ref="D12" authorId="0" shapeId="0" xr:uid="{00000000-0006-0000-0000-00000B000000}">
      <text>
        <r>
          <rPr>
            <sz val="10"/>
            <rFont val="Arial"/>
            <family val="2"/>
          </rPr>
          <t>Source: Most recent 10-K/10-Q filing</t>
        </r>
      </text>
    </comment>
    <comment ref="F12" authorId="0" shapeId="0" xr:uid="{00000000-0006-0000-0000-000012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3" authorId="0" shapeId="0" xr:uid="{00000000-0006-0000-0000-000005000000}">
      <text>
        <r>
          <rPr>
            <sz val="10"/>
            <rFont val="Arial"/>
            <family val="2"/>
          </rPr>
          <t>Source: LSEG/Yahoo Finance, 3/19/2026</t>
        </r>
      </text>
    </comment>
    <comment ref="D13" authorId="0" shapeId="0" xr:uid="{00000000-0006-0000-0000-00000C000000}">
      <text>
        <r>
          <rPr>
            <sz val="10"/>
            <rFont val="Arial"/>
            <family val="2"/>
          </rPr>
          <t>Source: Most recent 10-K/10-Q filing</t>
        </r>
      </text>
    </comment>
    <comment ref="F13" authorId="0" shapeId="0" xr:uid="{00000000-0006-0000-0000-000013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4" authorId="0" shapeId="0" xr:uid="{00000000-0006-0000-0000-000006000000}">
      <text>
        <r>
          <rPr>
            <sz val="10"/>
            <rFont val="Arial"/>
            <family val="2"/>
          </rPr>
          <t>Source: LSEG/Yahoo Finance, 3/19/2026</t>
        </r>
      </text>
    </comment>
    <comment ref="D14" authorId="0" shapeId="0" xr:uid="{00000000-0006-0000-0000-00000D000000}">
      <text>
        <r>
          <rPr>
            <sz val="10"/>
            <rFont val="Arial"/>
            <family val="2"/>
          </rPr>
          <t>Source: Most recent 10-K/10-Q filing</t>
        </r>
      </text>
    </comment>
    <comment ref="F14" authorId="0" shapeId="0" xr:uid="{00000000-0006-0000-0000-000014000000}">
      <text>
        <r>
          <rPr>
            <sz val="10"/>
            <rFont val="Arial"/>
            <family val="2"/>
          </rPr>
          <t>Source: Balance sheet, most recent fiscal year</t>
        </r>
      </text>
    </comment>
    <comment ref="C15" authorId="0" shapeId="0" xr:uid="{00000000-0006-0000-0000-000007000000}">
      <text>
        <r>
          <rPr>
            <sz val="10"/>
            <rFont val="Arial"/>
            <family val="2"/>
          </rPr>
          <t>Source: LSEG/Yahoo Finance, 3/19/2026</t>
        </r>
      </text>
    </comment>
    <comment ref="D15" authorId="0" shapeId="0" xr:uid="{00000000-0006-0000-0000-00000E000000}">
      <text>
        <r>
          <rPr>
            <sz val="10"/>
            <rFont val="Arial"/>
            <family val="2"/>
          </rPr>
          <t>Source: Most recent 10-K/10-Q filing</t>
        </r>
      </text>
    </comment>
    <comment ref="F15" authorId="0" shapeId="0" xr:uid="{00000000-0006-0000-0000-000015000000}">
      <text>
        <r>
          <rPr>
            <sz val="10"/>
            <rFont val="Arial"/>
            <family val="2"/>
          </rPr>
          <t>Source: Balance sheet, most recent fiscal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7" authorId="0" shapeId="0" xr:uid="{00000000-0006-0000-0100-000001000000}">
      <text>
        <r>
          <rPr>
            <sz val="10"/>
            <rFont val="Arial"/>
            <family val="2"/>
          </rPr>
          <t>NOPAT / Invested Capital</t>
        </r>
      </text>
    </comment>
    <comment ref="H37" authorId="0" shapeId="0" xr:uid="{00000000-0006-0000-0100-000008000000}">
      <text>
        <r>
          <rPr>
            <sz val="10"/>
            <rFont val="Arial"/>
            <family val="2"/>
          </rPr>
          <t>Interest Exp: $3,578mm</t>
        </r>
      </text>
    </comment>
    <comment ref="E39" authorId="0" shapeId="0" xr:uid="{00000000-0006-0000-0100-000002000000}">
      <text>
        <r>
          <rPr>
            <sz val="10"/>
            <rFont val="Arial"/>
            <family val="2"/>
          </rPr>
          <t>NOPAT / Invested Capital</t>
        </r>
      </text>
    </comment>
    <comment ref="H39" authorId="0" shapeId="0" xr:uid="{00000000-0006-0000-0100-000009000000}">
      <text>
        <r>
          <rPr>
            <sz val="10"/>
            <rFont val="Arial"/>
            <family val="2"/>
          </rPr>
          <t>Interest Exp: $2,700mm</t>
        </r>
      </text>
    </comment>
    <comment ref="E40" authorId="0" shapeId="0" xr:uid="{00000000-0006-0000-0100-000003000000}">
      <text>
        <r>
          <rPr>
            <sz val="10"/>
            <rFont val="Arial"/>
            <family val="2"/>
          </rPr>
          <t>NOPAT / Invested Capital</t>
        </r>
      </text>
    </comment>
    <comment ref="H40" authorId="0" shapeId="0" xr:uid="{00000000-0006-0000-0100-00000A000000}">
      <text>
        <r>
          <rPr>
            <sz val="10"/>
            <rFont val="Arial"/>
            <family val="2"/>
          </rPr>
          <t>Interest Exp: $1,036mm</t>
        </r>
      </text>
    </comment>
    <comment ref="E41" authorId="0" shapeId="0" xr:uid="{00000000-0006-0000-0100-000004000000}">
      <text>
        <r>
          <rPr>
            <sz val="10"/>
            <rFont val="Arial"/>
            <family val="2"/>
          </rPr>
          <t>NOPAT / Invested Capital</t>
        </r>
      </text>
    </comment>
    <comment ref="H41" authorId="0" shapeId="0" xr:uid="{00000000-0006-0000-0100-00000B000000}">
      <text>
        <r>
          <rPr>
            <sz val="10"/>
            <rFont val="Arial"/>
            <family val="2"/>
          </rPr>
          <t>Interest Exp: $330mm</t>
        </r>
      </text>
    </comment>
    <comment ref="E42" authorId="0" shapeId="0" xr:uid="{00000000-0006-0000-0100-000005000000}">
      <text>
        <r>
          <rPr>
            <sz val="10"/>
            <rFont val="Arial"/>
            <family val="2"/>
          </rPr>
          <t>NOPAT / Invested Capital</t>
        </r>
      </text>
    </comment>
    <comment ref="H42" authorId="0" shapeId="0" xr:uid="{00000000-0006-0000-0100-00000C000000}">
      <text>
        <r>
          <rPr>
            <sz val="10"/>
            <rFont val="Arial"/>
            <family val="2"/>
          </rPr>
          <t>Interest Exp: $1,900mm</t>
        </r>
      </text>
    </comment>
    <comment ref="E43" authorId="0" shapeId="0" xr:uid="{00000000-0006-0000-0100-000006000000}">
      <text>
        <r>
          <rPr>
            <sz val="10"/>
            <rFont val="Arial"/>
            <family val="2"/>
          </rPr>
          <t>NOPAT / Invested Capital</t>
        </r>
      </text>
    </comment>
    <comment ref="H43" authorId="0" shapeId="0" xr:uid="{00000000-0006-0000-0100-00000D000000}">
      <text>
        <r>
          <rPr>
            <sz val="10"/>
            <rFont val="Arial"/>
            <family val="2"/>
          </rPr>
          <t>Interest Exp: $24mm</t>
        </r>
      </text>
    </comment>
    <comment ref="E44" authorId="0" shapeId="0" xr:uid="{00000000-0006-0000-0100-000007000000}">
      <text>
        <r>
          <rPr>
            <sz val="10"/>
            <rFont val="Arial"/>
            <family val="2"/>
          </rPr>
          <t>NOPAT / Invested Capital</t>
        </r>
      </text>
    </comment>
    <comment ref="H44" authorId="0" shapeId="0" xr:uid="{00000000-0006-0000-0100-00000E000000}">
      <text>
        <r>
          <rPr>
            <sz val="10"/>
            <rFont val="Arial"/>
            <family val="2"/>
          </rPr>
          <t>Interest Exp: $263mm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4" authorId="0" shapeId="0" xr:uid="{00000000-0006-0000-0200-000001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26" authorId="0" shapeId="0" xr:uid="{00000000-0006-0000-0200-000002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27" authorId="0" shapeId="0" xr:uid="{00000000-0006-0000-0200-000003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28" authorId="0" shapeId="0" xr:uid="{00000000-0006-0000-0200-000004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29" authorId="0" shapeId="0" xr:uid="{00000000-0006-0000-0200-000005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30" authorId="0" shapeId="0" xr:uid="{00000000-0006-0000-0200-000006000000}">
      <text>
        <r>
          <rPr>
            <sz val="10"/>
            <rFont val="Arial"/>
            <family val="2"/>
          </rPr>
          <t>Uses current EBITDA margin applied to FY+1 revenue</t>
        </r>
      </text>
    </comment>
    <comment ref="D31" authorId="0" shapeId="0" xr:uid="{00000000-0006-0000-0200-000007000000}">
      <text>
        <r>
          <rPr>
            <sz val="10"/>
            <rFont val="Arial"/>
            <family val="2"/>
          </rPr>
          <t>Uses current EBITDA margin applied to FY+1 revenue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4" authorId="0" shapeId="0" xr:uid="{00000000-0006-0000-0300-000001000000}">
      <text>
        <r>
          <rPr>
            <sz val="10"/>
            <rFont val="Arial"/>
            <family val="2"/>
          </rPr>
          <t>Select from implied EV range above</t>
        </r>
      </text>
    </comment>
    <comment ref="B18" authorId="0" shapeId="0" xr:uid="{00000000-0006-0000-0300-000002000000}">
      <text>
        <r>
          <rPr>
            <sz val="10"/>
            <rFont val="Arial"/>
            <family val="2"/>
          </rPr>
          <t>Linked from Market Data tab</t>
        </r>
      </text>
    </comment>
  </commentList>
</comments>
</file>

<file path=xl/sharedStrings.xml><?xml version="1.0" encoding="utf-8"?>
<sst xmlns="http://schemas.openxmlformats.org/spreadsheetml/2006/main" count="248" uniqueCount="137">
  <si>
    <t>Oracle Corporation (NYSE: ORCL)</t>
  </si>
  <si>
    <t>Trading Comparable Companies Analysis — Market Data</t>
  </si>
  <si>
    <t>Market data as of March 19, 2026 (closing prices)</t>
  </si>
  <si>
    <t>Source: LSEG Historical Pricing, SEC EDGAR filings, StockAnalysis.com</t>
  </si>
  <si>
    <t>Market Data &amp; Enterprise Value Build</t>
  </si>
  <si>
    <t>Ticker</t>
  </si>
  <si>
    <t>Share Price ($)</t>
  </si>
  <si>
    <t>Diluted Shares (mm)</t>
  </si>
  <si>
    <t>Market Cap ($mm)</t>
  </si>
  <si>
    <t>Total Debt ($mm)</t>
  </si>
  <si>
    <t>Cash &amp; Equiv. ($mm)</t>
  </si>
  <si>
    <t>Minority Int. ($mm)</t>
  </si>
  <si>
    <t>Preferred Eq. ($mm)</t>
  </si>
  <si>
    <t>Enterprise Value ($mm)</t>
  </si>
  <si>
    <t>Source Notes</t>
  </si>
  <si>
    <t>Oracle Corporation</t>
  </si>
  <si>
    <t>ORCL</t>
  </si>
  <si>
    <t>Microsoft Corporation</t>
  </si>
  <si>
    <t>MSFT</t>
  </si>
  <si>
    <t>SAP SE</t>
  </si>
  <si>
    <t>SAP</t>
  </si>
  <si>
    <t>Salesforce, Inc.</t>
  </si>
  <si>
    <t>CRM</t>
  </si>
  <si>
    <t>International Business Machines</t>
  </si>
  <si>
    <t>IBM</t>
  </si>
  <si>
    <t>ServiceNow, Inc.</t>
  </si>
  <si>
    <t>NOW</t>
  </si>
  <si>
    <t>Adobe Inc.</t>
  </si>
  <si>
    <t>ADBE</t>
  </si>
  <si>
    <t>Peer Mean</t>
  </si>
  <si>
    <t>Peer Median</t>
  </si>
  <si>
    <t>Peer High</t>
  </si>
  <si>
    <t>Peer Low</t>
  </si>
  <si>
    <t>Trading Comparable Companies Analysis — Financial Metrics</t>
  </si>
  <si>
    <t>Last Twelve Months Financial Data ($mm)</t>
  </si>
  <si>
    <t>Revenue</t>
  </si>
  <si>
    <t>Gross Profit</t>
  </si>
  <si>
    <t>Gross Margin</t>
  </si>
  <si>
    <t>EBITDA</t>
  </si>
  <si>
    <t>EBITDA Margin</t>
  </si>
  <si>
    <t>EBIT</t>
  </si>
  <si>
    <t>EBIT Margin</t>
  </si>
  <si>
    <t>Net Income</t>
  </si>
  <si>
    <t>Oper. Cash Flow</t>
  </si>
  <si>
    <t>CapEx</t>
  </si>
  <si>
    <t>Free Cash Flow</t>
  </si>
  <si>
    <t>FCF Margin</t>
  </si>
  <si>
    <t>Source</t>
  </si>
  <si>
    <t>Forward Consensus Estimates</t>
  </si>
  <si>
    <t>FY+1 Rev ($mm)</t>
  </si>
  <si>
    <t>FY+1 Rev Gr.</t>
  </si>
  <si>
    <t>FY+2 Rev ($mm)</t>
  </si>
  <si>
    <t>FY+2 Rev Gr.</t>
  </si>
  <si>
    <t>FY+1 EPS ($)</t>
  </si>
  <si>
    <t>FY+2 EPS ($)</t>
  </si>
  <si>
    <t>LT EPS Gr.</t>
  </si>
  <si>
    <t># Analysts</t>
  </si>
  <si>
    <t>Growth &amp; Profitability Benchmarking</t>
  </si>
  <si>
    <t>3-Yr Rev CAGR</t>
  </si>
  <si>
    <t>3-Yr EBITDA CAGR</t>
  </si>
  <si>
    <t>ROIC</t>
  </si>
  <si>
    <t>ROA</t>
  </si>
  <si>
    <t>Net Debt/EBITDA</t>
  </si>
  <si>
    <t>Interest Cov.</t>
  </si>
  <si>
    <t>Employees</t>
  </si>
  <si>
    <t>Rev/Employee ($K)</t>
  </si>
  <si>
    <t>Trading Comparable Companies Analysis — Valuation Multiples</t>
  </si>
  <si>
    <t>Last Twelve Months Valuation Multiples</t>
  </si>
  <si>
    <t>EV / Rev</t>
  </si>
  <si>
    <t>EV / GP</t>
  </si>
  <si>
    <t>EV / EBITDA</t>
  </si>
  <si>
    <t>EV / EBIT</t>
  </si>
  <si>
    <t>P / E</t>
  </si>
  <si>
    <t>P / FCF</t>
  </si>
  <si>
    <t>FCF Yield</t>
  </si>
  <si>
    <t>N/M</t>
  </si>
  <si>
    <t>Oracle Premium / (Discount) to Peer Median</t>
  </si>
  <si>
    <t>Forward (Next Twelve Months) Valuation Multiples</t>
  </si>
  <si>
    <t>NTM EV/Rev</t>
  </si>
  <si>
    <t>NTM EV/EBITDA</t>
  </si>
  <si>
    <t>NTM P/E</t>
  </si>
  <si>
    <t>PEG Ratio</t>
  </si>
  <si>
    <t>Comparable Companies Implied Valuation Range</t>
  </si>
  <si>
    <t>Implied Enterprise Value from Peer Multiples ($mm)</t>
  </si>
  <si>
    <t>Methodology</t>
  </si>
  <si>
    <t>Low (25th Pctl)</t>
  </si>
  <si>
    <t>Median</t>
  </si>
  <si>
    <t>High (75th Pctl)</t>
  </si>
  <si>
    <t>Mean</t>
  </si>
  <si>
    <t>Notes</t>
  </si>
  <si>
    <t>LTM EV / Revenue</t>
  </si>
  <si>
    <t>LTM EV / EBITDA</t>
  </si>
  <si>
    <t>LTM EV / EBIT</t>
  </si>
  <si>
    <t>NTM EV / Revenue</t>
  </si>
  <si>
    <t>NTM EV / EBITDA</t>
  </si>
  <si>
    <t>Enterprise Value to Equity Value Bridge</t>
  </si>
  <si>
    <t>Selected Implied Enterprise Value — Low ($mm)</t>
  </si>
  <si>
    <t>Selected Implied Enterprise Value — Base ($mm)</t>
  </si>
  <si>
    <t>Selected Implied Enterprise Value — High ($mm)</t>
  </si>
  <si>
    <t>Less: Total Debt ($mm)</t>
  </si>
  <si>
    <t>Less: Minority Interest ($mm)</t>
  </si>
  <si>
    <t>Plus: Cash and Cash Equivalents ($mm)</t>
  </si>
  <si>
    <t>Implied Equity Value — Low ($mm)</t>
  </si>
  <si>
    <t>Implied Equity Value — Base ($mm)</t>
  </si>
  <si>
    <t>Implied Equity Value — High ($mm)</t>
  </si>
  <si>
    <t>Diluted Shares Outstanding (millions)</t>
  </si>
  <si>
    <t>Implied Share Price — Low ($)</t>
  </si>
  <si>
    <t>Implied Share Price — Base ($)</t>
  </si>
  <si>
    <t>Implied Share Price — High ($)</t>
  </si>
  <si>
    <t>Current Share Price ($)</t>
  </si>
  <si>
    <t>Implied Upside / (Downside) — Low (%)</t>
  </si>
  <si>
    <t>Implied Upside / (Downside) — Base (%)</t>
  </si>
  <si>
    <t>Implied Upside / (Downside) — High (%)</t>
  </si>
  <si>
    <t>Peer Tier Mapping</t>
  </si>
  <si>
    <t>Company</t>
  </si>
  <si>
    <t>Tier</t>
  </si>
  <si>
    <t>Rationale</t>
  </si>
  <si>
    <t>Tier 1 — Cloud &amp; Enterprise</t>
  </si>
  <si>
    <t>Cloud infrastructure + enterprise applications overlap</t>
  </si>
  <si>
    <t>Tier 1 — Enterprise Applications</t>
  </si>
  <si>
    <t>Direct Enterprise Resource Planning competitor</t>
  </si>
  <si>
    <t>Tier 1 — Cloud Applications</t>
  </si>
  <si>
    <t>Cloud Software as a Service overlap</t>
  </si>
  <si>
    <t>Tier 2 — Legacy Enterprise</t>
  </si>
  <si>
    <t>Legacy infrastructure + consulting; lower growth</t>
  </si>
  <si>
    <t>Tier 2 — Cloud Pure-Play</t>
  </si>
  <si>
    <t>Cloud-only; limited infrastructure overlap</t>
  </si>
  <si>
    <t>Tier 2 — Cloud Applications</t>
  </si>
  <si>
    <t>Cloud Software as a Service; different end markets</t>
  </si>
  <si>
    <t>Beta &amp; Weighted Average Cost of Capital Inputs</t>
  </si>
  <si>
    <t>Beta (5-Year Monthly vs. S&amp;P 500)</t>
  </si>
  <si>
    <t>Fiscal Year End</t>
  </si>
  <si>
    <t>May 31</t>
  </si>
  <si>
    <t>June 30</t>
  </si>
  <si>
    <t>December 31</t>
  </si>
  <si>
    <t>January 31</t>
  </si>
  <si>
    <t>~November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</si>
</sst>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.00"/>
    <numFmt numFmtId="165" formatCode="0.0%"/>
    <numFmt numFmtId="166" formatCode="#,##0;\(#,##0\);\-"/>
    <numFmt numFmtId="167" formatCode="0.0\x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000000"/>
      <name val="Arial"/>
      <family val="2"/>
    </font>
    <font>
      <i/>
      <sz val="10"/>
      <color rgb="FF808080"/>
      <name val="Arial"/>
      <family val="2"/>
    </font>
    <font>
      <i/>
      <sz val="9"/>
      <color rgb="FF808080"/>
      <name val="Arial"/>
      <family val="2"/>
    </font>
    <font>
      <i/>
      <sz val="9"/>
      <color rgb="FFFF0000"/>
      <name val="Arial"/>
      <family val="2"/>
    </font>
    <font>
      <b/>
      <u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CC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3" borderId="0" xfId="0" applyFont="1" applyFill="1"/>
    <xf numFmtId="164" fontId="9" fillId="4" borderId="0" xfId="0" applyNumberFormat="1" applyFont="1" applyFill="1"/>
    <xf numFmtId="3" fontId="9" fillId="4" borderId="0" xfId="0" applyNumberFormat="1" applyFont="1" applyFill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8" fillId="5" borderId="0" xfId="0" applyFont="1" applyFill="1"/>
    <xf numFmtId="164" fontId="8" fillId="5" borderId="0" xfId="0" applyNumberFormat="1" applyFont="1" applyFill="1"/>
    <xf numFmtId="3" fontId="8" fillId="5" borderId="0" xfId="0" applyNumberFormat="1" applyFont="1" applyFill="1"/>
    <xf numFmtId="165" fontId="10" fillId="0" borderId="0" xfId="0" applyNumberFormat="1" applyFont="1"/>
    <xf numFmtId="166" fontId="9" fillId="4" borderId="0" xfId="0" applyNumberFormat="1" applyFont="1" applyFill="1"/>
    <xf numFmtId="166" fontId="10" fillId="0" borderId="0" xfId="0" applyNumberFormat="1" applyFont="1"/>
    <xf numFmtId="165" fontId="8" fillId="5" borderId="0" xfId="0" applyNumberFormat="1" applyFont="1" applyFill="1"/>
    <xf numFmtId="165" fontId="9" fillId="4" borderId="0" xfId="0" applyNumberFormat="1" applyFont="1" applyFill="1"/>
    <xf numFmtId="167" fontId="10" fillId="0" borderId="0" xfId="0" applyNumberFormat="1" applyFont="1"/>
    <xf numFmtId="167" fontId="8" fillId="5" borderId="0" xfId="0" applyNumberFormat="1" applyFont="1" applyFill="1"/>
    <xf numFmtId="0" fontId="8" fillId="0" borderId="0" xfId="0" applyFont="1"/>
    <xf numFmtId="165" fontId="8" fillId="0" borderId="1" xfId="0" applyNumberFormat="1" applyFont="1" applyBorder="1"/>
    <xf numFmtId="0" fontId="8" fillId="0" borderId="1" xfId="0" applyFont="1" applyBorder="1"/>
    <xf numFmtId="3" fontId="11" fillId="0" borderId="0" xfId="0" applyNumberFormat="1" applyFont="1"/>
    <xf numFmtId="3" fontId="8" fillId="0" borderId="1" xfId="0" applyNumberFormat="1" applyFont="1" applyBorder="1"/>
    <xf numFmtId="164" fontId="8" fillId="0" borderId="1" xfId="0" applyNumberFormat="1" applyFont="1" applyBorder="1"/>
    <xf numFmtId="164" fontId="11" fillId="0" borderId="0" xfId="0" applyNumberFormat="1" applyFont="1"/>
    <xf numFmtId="165" fontId="8" fillId="0" borderId="0" xfId="0" applyNumberFormat="1" applyFont="1"/>
    <xf numFmtId="0" fontId="4" fillId="0" borderId="0" xfId="0" applyFont="1" applyAlignment="1">
      <alignment horizontal="left" vertical="center" wrapText="1"/>
    </xf>
    <xf numFmtId="2" fontId="9" fillId="4" borderId="0" xfId="0" applyNumberFormat="1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EE77D8-29CF-481F-B039-6A57BA7FEC2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K20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6" customWidth="1"/>
    <col min="5" max="5" width="18" customWidth="1"/>
    <col min="6" max="6" width="16" customWidth="1"/>
    <col min="7" max="7" width="18" customWidth="1"/>
    <col min="8" max="9" width="16" customWidth="1"/>
    <col min="10" max="10" width="18" customWidth="1"/>
    <col min="11" max="11" width="28" customWidth="1"/>
  </cols>
  <sheetData>
    <row r="1" spans="1:11" ht="17.25" customHeight="1" x14ac:dyDescent="0.25">
      <c r="A1" s="1" t="s">
        <v>0</v>
      </c>
    </row>
    <row r="2" spans="1:11" ht="15" customHeight="1" x14ac:dyDescent="0.25">
      <c r="A2" s="2" t="s">
        <v>1</v>
      </c>
    </row>
    <row r="3" spans="1:11" ht="15" customHeight="1" x14ac:dyDescent="0.25">
      <c r="A3" s="3" t="s">
        <v>2</v>
      </c>
    </row>
    <row r="4" spans="1:11" ht="15" customHeight="1" x14ac:dyDescent="0.25">
      <c r="A4" s="4" t="s">
        <v>3</v>
      </c>
    </row>
    <row r="6" spans="1:11" ht="15" customHeight="1" x14ac:dyDescent="0.25">
      <c r="A6" s="5" t="s">
        <v>4</v>
      </c>
    </row>
    <row r="7" spans="1:11" ht="15" customHeight="1" x14ac:dyDescent="0.25">
      <c r="A7" s="6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</row>
    <row r="8" spans="1:11" ht="15" customHeight="1" x14ac:dyDescent="0.25">
      <c r="A8" s="7" t="s">
        <v>15</v>
      </c>
      <c r="B8" s="7" t="s">
        <v>16</v>
      </c>
      <c r="C8" s="8">
        <v>155.52000000000001</v>
      </c>
      <c r="D8" s="9">
        <v>2870</v>
      </c>
      <c r="E8" s="10">
        <f>C8*D8</f>
        <v>446342.40000000002</v>
      </c>
      <c r="F8" s="9">
        <v>95502</v>
      </c>
      <c r="G8" s="9">
        <v>10456</v>
      </c>
      <c r="H8" s="9">
        <v>518</v>
      </c>
      <c r="I8" s="11"/>
      <c r="J8" s="10">
        <f>E8+F8-G8+IF(H8="",0,H8)+IF(I8="",0,I8)</f>
        <v>531906.4</v>
      </c>
    </row>
    <row r="9" spans="1:11" ht="15" customHeight="1" x14ac:dyDescent="0.25">
      <c r="A9" s="12"/>
    </row>
    <row r="10" spans="1:11" ht="15" customHeight="1" x14ac:dyDescent="0.25">
      <c r="A10" s="12" t="s">
        <v>17</v>
      </c>
      <c r="B10" s="12" t="s">
        <v>18</v>
      </c>
      <c r="C10" s="8">
        <v>384.67</v>
      </c>
      <c r="D10" s="9">
        <v>7465</v>
      </c>
      <c r="E10" s="13">
        <f t="shared" ref="E10:E15" si="0">C10*D10</f>
        <v>2871561.5500000003</v>
      </c>
      <c r="F10" s="9">
        <v>44000</v>
      </c>
      <c r="G10" s="9">
        <v>87242</v>
      </c>
      <c r="H10" s="9">
        <v>1300</v>
      </c>
      <c r="I10" s="11"/>
      <c r="J10" s="13">
        <f t="shared" ref="J10:J15" si="1">E10+F10-G10+IF(H10="",0,H10)+IF(I10="",0,I10)</f>
        <v>2829619.5500000003</v>
      </c>
    </row>
    <row r="11" spans="1:11" ht="15" customHeight="1" x14ac:dyDescent="0.25">
      <c r="A11" s="12" t="s">
        <v>19</v>
      </c>
      <c r="B11" s="12" t="s">
        <v>20</v>
      </c>
      <c r="C11" s="8">
        <v>185.01</v>
      </c>
      <c r="D11" s="9">
        <v>1220</v>
      </c>
      <c r="E11" s="13">
        <f t="shared" si="0"/>
        <v>225712.19999999998</v>
      </c>
      <c r="F11" s="9">
        <v>9860</v>
      </c>
      <c r="G11" s="9">
        <v>10405</v>
      </c>
      <c r="H11" s="9">
        <v>600</v>
      </c>
      <c r="I11" s="11"/>
      <c r="J11" s="13">
        <f t="shared" si="1"/>
        <v>225767.19999999998</v>
      </c>
    </row>
    <row r="12" spans="1:11" ht="15" customHeight="1" x14ac:dyDescent="0.25">
      <c r="A12" s="12" t="s">
        <v>21</v>
      </c>
      <c r="B12" s="12" t="s">
        <v>22</v>
      </c>
      <c r="C12" s="8">
        <v>194.99</v>
      </c>
      <c r="D12" s="9">
        <v>956</v>
      </c>
      <c r="E12" s="13">
        <f t="shared" si="0"/>
        <v>186410.44</v>
      </c>
      <c r="F12" s="9">
        <v>14439</v>
      </c>
      <c r="G12" s="9">
        <v>9565</v>
      </c>
      <c r="H12" s="11"/>
      <c r="I12" s="11"/>
      <c r="J12" s="13">
        <f t="shared" si="1"/>
        <v>191284.44</v>
      </c>
    </row>
    <row r="13" spans="1:11" ht="15" customHeight="1" x14ac:dyDescent="0.25">
      <c r="A13" s="12" t="s">
        <v>23</v>
      </c>
      <c r="B13" s="12" t="s">
        <v>24</v>
      </c>
      <c r="C13" s="8">
        <v>250.37</v>
      </c>
      <c r="D13" s="9">
        <v>945</v>
      </c>
      <c r="E13" s="13">
        <f t="shared" si="0"/>
        <v>236599.65</v>
      </c>
      <c r="F13" s="9">
        <v>64607</v>
      </c>
      <c r="G13" s="9">
        <v>14417</v>
      </c>
      <c r="H13" s="9">
        <v>93</v>
      </c>
      <c r="I13" s="11"/>
      <c r="J13" s="13">
        <f t="shared" si="1"/>
        <v>286882.65000000002</v>
      </c>
    </row>
    <row r="14" spans="1:11" ht="15" customHeight="1" x14ac:dyDescent="0.25">
      <c r="A14" s="12" t="s">
        <v>25</v>
      </c>
      <c r="B14" s="12" t="s">
        <v>26</v>
      </c>
      <c r="C14" s="8">
        <v>113.27</v>
      </c>
      <c r="D14" s="9">
        <v>1047</v>
      </c>
      <c r="E14" s="13">
        <f t="shared" si="0"/>
        <v>118593.69</v>
      </c>
      <c r="F14" s="9">
        <v>1500</v>
      </c>
      <c r="G14" s="9">
        <v>5500</v>
      </c>
      <c r="H14" s="11"/>
      <c r="I14" s="11"/>
      <c r="J14" s="13">
        <f t="shared" si="1"/>
        <v>114593.69</v>
      </c>
    </row>
    <row r="15" spans="1:11" ht="15" customHeight="1" x14ac:dyDescent="0.25">
      <c r="A15" s="12" t="s">
        <v>27</v>
      </c>
      <c r="B15" s="12" t="s">
        <v>28</v>
      </c>
      <c r="C15" s="8">
        <v>245.99</v>
      </c>
      <c r="D15" s="9">
        <v>427</v>
      </c>
      <c r="E15" s="13">
        <f t="shared" si="0"/>
        <v>105037.73000000001</v>
      </c>
      <c r="F15" s="9">
        <v>5700</v>
      </c>
      <c r="G15" s="9">
        <v>6595</v>
      </c>
      <c r="H15" s="11"/>
      <c r="I15" s="11"/>
      <c r="J15" s="13">
        <f t="shared" si="1"/>
        <v>104142.73000000001</v>
      </c>
    </row>
    <row r="17" spans="1:10" ht="15" customHeight="1" x14ac:dyDescent="0.25">
      <c r="A17" s="14" t="s">
        <v>29</v>
      </c>
      <c r="C17" s="15">
        <f t="shared" ref="C17:H17" si="2">AVERAGE(C10:C15)</f>
        <v>229.05000000000004</v>
      </c>
      <c r="D17" s="16">
        <f t="shared" si="2"/>
        <v>2010</v>
      </c>
      <c r="E17" s="16">
        <f t="shared" si="2"/>
        <v>623985.87666666671</v>
      </c>
      <c r="F17" s="16">
        <f t="shared" si="2"/>
        <v>23351</v>
      </c>
      <c r="G17" s="16">
        <f t="shared" si="2"/>
        <v>22287.333333333332</v>
      </c>
      <c r="H17" s="16">
        <f t="shared" si="2"/>
        <v>664.33333333333337</v>
      </c>
      <c r="I17" s="16">
        <f>IF(COUNT(I10:I15)=0,0,AVERAGE(I10:I15))</f>
        <v>0</v>
      </c>
      <c r="J17" s="16">
        <f>AVERAGE(J10:J15)</f>
        <v>625381.71000000008</v>
      </c>
    </row>
    <row r="18" spans="1:10" ht="15" customHeight="1" x14ac:dyDescent="0.25">
      <c r="A18" s="14" t="s">
        <v>30</v>
      </c>
      <c r="C18" s="15">
        <f t="shared" ref="C18:H18" si="3">MEDIAN(C10:C15)</f>
        <v>220.49</v>
      </c>
      <c r="D18" s="16">
        <f t="shared" si="3"/>
        <v>1001.5</v>
      </c>
      <c r="E18" s="16">
        <f t="shared" si="3"/>
        <v>206061.32</v>
      </c>
      <c r="F18" s="16">
        <f t="shared" si="3"/>
        <v>12149.5</v>
      </c>
      <c r="G18" s="16">
        <f t="shared" si="3"/>
        <v>9985</v>
      </c>
      <c r="H18" s="16">
        <f t="shared" si="3"/>
        <v>600</v>
      </c>
      <c r="I18" s="16">
        <f>IF(COUNT(I10:I15)=0,0,MEDIAN(I10:I15))</f>
        <v>0</v>
      </c>
      <c r="J18" s="16">
        <f>MEDIAN(J10:J15)</f>
        <v>208525.82</v>
      </c>
    </row>
    <row r="19" spans="1:10" ht="15" customHeight="1" x14ac:dyDescent="0.25">
      <c r="A19" s="14" t="s">
        <v>31</v>
      </c>
      <c r="C19" s="15">
        <f t="shared" ref="C19:J19" si="4">MAX(C10:C15)</f>
        <v>384.67</v>
      </c>
      <c r="D19" s="16">
        <f t="shared" si="4"/>
        <v>7465</v>
      </c>
      <c r="E19" s="16">
        <f t="shared" si="4"/>
        <v>2871561.5500000003</v>
      </c>
      <c r="F19" s="16">
        <f t="shared" si="4"/>
        <v>64607</v>
      </c>
      <c r="G19" s="16">
        <f t="shared" si="4"/>
        <v>87242</v>
      </c>
      <c r="H19" s="16">
        <f t="shared" si="4"/>
        <v>1300</v>
      </c>
      <c r="I19" s="16">
        <f t="shared" si="4"/>
        <v>0</v>
      </c>
      <c r="J19" s="16">
        <f t="shared" si="4"/>
        <v>2829619.5500000003</v>
      </c>
    </row>
    <row r="20" spans="1:10" ht="15" customHeight="1" x14ac:dyDescent="0.25">
      <c r="A20" s="14" t="s">
        <v>32</v>
      </c>
      <c r="C20" s="15">
        <f t="shared" ref="C20:J20" si="5">MIN(C10:C15)</f>
        <v>113.27</v>
      </c>
      <c r="D20" s="16">
        <f t="shared" si="5"/>
        <v>427</v>
      </c>
      <c r="E20" s="16">
        <f t="shared" si="5"/>
        <v>105037.73000000001</v>
      </c>
      <c r="F20" s="16">
        <f t="shared" si="5"/>
        <v>1500</v>
      </c>
      <c r="G20" s="16">
        <f t="shared" si="5"/>
        <v>5500</v>
      </c>
      <c r="H20" s="16">
        <f t="shared" si="5"/>
        <v>93</v>
      </c>
      <c r="I20" s="16">
        <f t="shared" si="5"/>
        <v>0</v>
      </c>
      <c r="J20" s="16">
        <f t="shared" si="5"/>
        <v>104142.73000000001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O47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0" customWidth="1"/>
    <col min="3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1" width="16" customWidth="1"/>
    <col min="12" max="14" width="14" customWidth="1"/>
    <col min="15" max="15" width="28" customWidth="1"/>
  </cols>
  <sheetData>
    <row r="1" spans="1:15" ht="17.25" customHeight="1" x14ac:dyDescent="0.25">
      <c r="A1" s="1" t="s">
        <v>0</v>
      </c>
    </row>
    <row r="2" spans="1:15" ht="15" customHeight="1" x14ac:dyDescent="0.25">
      <c r="A2" s="2" t="s">
        <v>33</v>
      </c>
    </row>
    <row r="4" spans="1:15" ht="15" customHeight="1" x14ac:dyDescent="0.25">
      <c r="A4" s="5" t="s">
        <v>34</v>
      </c>
    </row>
    <row r="5" spans="1:15" ht="15" customHeight="1" x14ac:dyDescent="0.25">
      <c r="A5" s="6"/>
      <c r="B5" s="6" t="s">
        <v>5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L5" s="6" t="s">
        <v>44</v>
      </c>
      <c r="M5" s="6" t="s">
        <v>45</v>
      </c>
      <c r="N5" s="6" t="s">
        <v>46</v>
      </c>
      <c r="O5" s="6" t="s">
        <v>47</v>
      </c>
    </row>
    <row r="6" spans="1:15" ht="15" customHeight="1" x14ac:dyDescent="0.25">
      <c r="A6" s="7" t="s">
        <v>15</v>
      </c>
      <c r="B6" s="7" t="s">
        <v>16</v>
      </c>
      <c r="C6" s="9">
        <v>57399</v>
      </c>
      <c r="D6" s="9">
        <v>40472</v>
      </c>
      <c r="E6" s="17">
        <f>D6/C6</f>
        <v>0.70509939197547</v>
      </c>
      <c r="F6" s="9">
        <v>23852</v>
      </c>
      <c r="G6" s="17">
        <f>F6/C6</f>
        <v>0.41554730918657118</v>
      </c>
      <c r="H6" s="9">
        <v>17678</v>
      </c>
      <c r="I6" s="17">
        <f>H6/C6</f>
        <v>0.30798445965957594</v>
      </c>
      <c r="J6" s="9">
        <v>12443</v>
      </c>
      <c r="K6" s="9">
        <v>20800</v>
      </c>
      <c r="L6" s="18">
        <v>-21200</v>
      </c>
      <c r="M6" s="19">
        <f>K6+L6</f>
        <v>-400</v>
      </c>
      <c r="N6" s="17">
        <f>IF(M6=0,"-",M6/C6)</f>
        <v>-6.968762521995157E-3</v>
      </c>
    </row>
    <row r="7" spans="1:15" ht="15" customHeight="1" x14ac:dyDescent="0.25">
      <c r="A7" s="12"/>
    </row>
    <row r="8" spans="1:15" ht="15" customHeight="1" x14ac:dyDescent="0.25">
      <c r="A8" s="12" t="s">
        <v>17</v>
      </c>
      <c r="B8" s="12" t="s">
        <v>18</v>
      </c>
      <c r="C8" s="9">
        <v>281724</v>
      </c>
      <c r="D8" s="9">
        <v>193893</v>
      </c>
      <c r="E8" s="17">
        <f t="shared" ref="E8:E13" si="0">D8/C8</f>
        <v>0.68823742386165188</v>
      </c>
      <c r="F8" s="9">
        <v>162681</v>
      </c>
      <c r="G8" s="17">
        <f t="shared" ref="G8:G13" si="1">F8/C8</f>
        <v>0.57744814073348383</v>
      </c>
      <c r="H8" s="9">
        <v>128528</v>
      </c>
      <c r="I8" s="17">
        <f t="shared" ref="I8:I13" si="2">H8/C8</f>
        <v>0.45621956240859851</v>
      </c>
      <c r="J8" s="9">
        <v>101832</v>
      </c>
      <c r="K8" s="9">
        <v>136162</v>
      </c>
      <c r="L8" s="18">
        <v>-64551</v>
      </c>
      <c r="M8" s="19">
        <f t="shared" ref="M8:M13" si="3">K8+L8</f>
        <v>71611</v>
      </c>
      <c r="N8" s="17">
        <f t="shared" ref="N8:N13" si="4">IF(M8=0,"-",M8/C8)</f>
        <v>0.25418849654271558</v>
      </c>
    </row>
    <row r="9" spans="1:15" ht="15" customHeight="1" x14ac:dyDescent="0.25">
      <c r="A9" s="12" t="s">
        <v>19</v>
      </c>
      <c r="B9" s="12" t="s">
        <v>20</v>
      </c>
      <c r="C9" s="9">
        <v>40112</v>
      </c>
      <c r="D9" s="9">
        <v>29227</v>
      </c>
      <c r="E9" s="17">
        <f t="shared" si="0"/>
        <v>0.72863482249700839</v>
      </c>
      <c r="F9" s="9">
        <v>11912</v>
      </c>
      <c r="G9" s="17">
        <f t="shared" si="1"/>
        <v>0.29696848823294775</v>
      </c>
      <c r="H9" s="9">
        <v>10483</v>
      </c>
      <c r="I9" s="17">
        <f t="shared" si="2"/>
        <v>0.2613432389309932</v>
      </c>
      <c r="J9" s="9">
        <v>7848</v>
      </c>
      <c r="K9" s="9">
        <v>9265</v>
      </c>
      <c r="L9" s="18">
        <v>-709</v>
      </c>
      <c r="M9" s="19">
        <f t="shared" si="3"/>
        <v>8556</v>
      </c>
      <c r="N9" s="17">
        <f t="shared" si="4"/>
        <v>0.21330275229357798</v>
      </c>
    </row>
    <row r="10" spans="1:15" ht="15" customHeight="1" x14ac:dyDescent="0.25">
      <c r="A10" s="12" t="s">
        <v>21</v>
      </c>
      <c r="B10" s="12" t="s">
        <v>22</v>
      </c>
      <c r="C10" s="9">
        <v>41525</v>
      </c>
      <c r="D10" s="9">
        <v>32255</v>
      </c>
      <c r="E10" s="17">
        <f t="shared" si="0"/>
        <v>0.77676098735701382</v>
      </c>
      <c r="F10" s="9">
        <v>14159</v>
      </c>
      <c r="G10" s="17">
        <f t="shared" si="1"/>
        <v>0.34097531607465381</v>
      </c>
      <c r="H10" s="9">
        <v>8331</v>
      </c>
      <c r="I10" s="17">
        <f t="shared" si="2"/>
        <v>0.20062612883804937</v>
      </c>
      <c r="J10" s="9">
        <v>7457</v>
      </c>
      <c r="K10" s="9">
        <v>15000</v>
      </c>
      <c r="L10" s="18">
        <v>-600</v>
      </c>
      <c r="M10" s="19">
        <f t="shared" si="3"/>
        <v>14400</v>
      </c>
      <c r="N10" s="17">
        <f t="shared" si="4"/>
        <v>0.34677904876580373</v>
      </c>
    </row>
    <row r="11" spans="1:15" ht="15" customHeight="1" x14ac:dyDescent="0.25">
      <c r="A11" s="12" t="s">
        <v>23</v>
      </c>
      <c r="B11" s="12" t="s">
        <v>24</v>
      </c>
      <c r="C11" s="9">
        <v>67535</v>
      </c>
      <c r="D11" s="9">
        <v>39297</v>
      </c>
      <c r="E11" s="17">
        <f t="shared" si="0"/>
        <v>0.58187606426297478</v>
      </c>
      <c r="F11" s="9">
        <v>16000</v>
      </c>
      <c r="G11" s="17">
        <f t="shared" si="1"/>
        <v>0.23691419264085289</v>
      </c>
      <c r="H11" s="9">
        <v>11822</v>
      </c>
      <c r="I11" s="17">
        <f t="shared" si="2"/>
        <v>0.17504997408751019</v>
      </c>
      <c r="J11" s="9">
        <v>10570</v>
      </c>
      <c r="K11" s="9">
        <v>14700</v>
      </c>
      <c r="L11" s="18">
        <v>-1500</v>
      </c>
      <c r="M11" s="19">
        <f t="shared" si="3"/>
        <v>13200</v>
      </c>
      <c r="N11" s="17">
        <f t="shared" si="4"/>
        <v>0.19545420892870363</v>
      </c>
    </row>
    <row r="12" spans="1:15" ht="15" customHeight="1" x14ac:dyDescent="0.25">
      <c r="A12" s="12" t="s">
        <v>25</v>
      </c>
      <c r="B12" s="12" t="s">
        <v>26</v>
      </c>
      <c r="C12" s="9">
        <v>13278</v>
      </c>
      <c r="D12" s="9">
        <v>10295</v>
      </c>
      <c r="E12" s="17">
        <f t="shared" si="0"/>
        <v>0.77534267208917007</v>
      </c>
      <c r="F12" s="9">
        <v>2562</v>
      </c>
      <c r="G12" s="17">
        <f t="shared" si="1"/>
        <v>0.19295074559421599</v>
      </c>
      <c r="H12" s="9">
        <v>1824</v>
      </c>
      <c r="I12" s="17">
        <f t="shared" si="2"/>
        <v>0.13737008585630367</v>
      </c>
      <c r="J12" s="9">
        <v>1748</v>
      </c>
      <c r="K12" s="9">
        <v>5444</v>
      </c>
      <c r="L12" s="18">
        <v>-868</v>
      </c>
      <c r="M12" s="19">
        <f t="shared" si="3"/>
        <v>4576</v>
      </c>
      <c r="N12" s="17">
        <f t="shared" si="4"/>
        <v>0.34463021539388461</v>
      </c>
    </row>
    <row r="13" spans="1:15" ht="15" customHeight="1" x14ac:dyDescent="0.25">
      <c r="A13" s="12" t="s">
        <v>27</v>
      </c>
      <c r="B13" s="12" t="s">
        <v>28</v>
      </c>
      <c r="C13" s="9">
        <v>23769</v>
      </c>
      <c r="D13" s="9">
        <v>21218</v>
      </c>
      <c r="E13" s="17">
        <f t="shared" si="0"/>
        <v>0.89267533341747651</v>
      </c>
      <c r="F13" s="9">
        <v>9524</v>
      </c>
      <c r="G13" s="17">
        <f t="shared" si="1"/>
        <v>0.40068997433632042</v>
      </c>
      <c r="H13" s="9">
        <v>8706</v>
      </c>
      <c r="I13" s="17">
        <f t="shared" si="2"/>
        <v>0.36627540073204595</v>
      </c>
      <c r="J13" s="9">
        <v>7130</v>
      </c>
      <c r="K13" s="9">
        <v>10030</v>
      </c>
      <c r="L13" s="18">
        <v>-178</v>
      </c>
      <c r="M13" s="19">
        <f t="shared" si="3"/>
        <v>9852</v>
      </c>
      <c r="N13" s="17">
        <f t="shared" si="4"/>
        <v>0.41448946106272877</v>
      </c>
    </row>
    <row r="15" spans="1:15" ht="15" customHeight="1" x14ac:dyDescent="0.25">
      <c r="A15" s="14" t="s">
        <v>29</v>
      </c>
      <c r="C15" s="16">
        <f t="shared" ref="C15:N15" si="5">AVERAGE(C8:C13)</f>
        <v>77990.5</v>
      </c>
      <c r="D15" s="16">
        <f t="shared" si="5"/>
        <v>54364.166666666664</v>
      </c>
      <c r="E15" s="20">
        <f t="shared" si="5"/>
        <v>0.74058788391421582</v>
      </c>
      <c r="F15" s="16">
        <f t="shared" si="5"/>
        <v>36139.666666666664</v>
      </c>
      <c r="G15" s="20">
        <f t="shared" si="5"/>
        <v>0.34099114293541244</v>
      </c>
      <c r="H15" s="16">
        <f t="shared" si="5"/>
        <v>28282.333333333332</v>
      </c>
      <c r="I15" s="20">
        <f t="shared" si="5"/>
        <v>0.2661473984755835</v>
      </c>
      <c r="J15" s="16">
        <f t="shared" si="5"/>
        <v>22764.166666666668</v>
      </c>
      <c r="K15" s="16">
        <f t="shared" si="5"/>
        <v>31766.833333333332</v>
      </c>
      <c r="L15" s="16">
        <f t="shared" si="5"/>
        <v>-11401</v>
      </c>
      <c r="M15" s="16">
        <f t="shared" si="5"/>
        <v>20365.833333333332</v>
      </c>
      <c r="N15" s="20">
        <f t="shared" si="5"/>
        <v>0.29480736383123574</v>
      </c>
    </row>
    <row r="16" spans="1:15" ht="15" customHeight="1" x14ac:dyDescent="0.25">
      <c r="A16" s="14" t="s">
        <v>30</v>
      </c>
      <c r="C16" s="16">
        <f t="shared" ref="C16:N16" si="6">MEDIAN(C8:C13)</f>
        <v>40818.5</v>
      </c>
      <c r="D16" s="16">
        <f t="shared" si="6"/>
        <v>30741</v>
      </c>
      <c r="E16" s="20">
        <f t="shared" si="6"/>
        <v>0.75198874729308929</v>
      </c>
      <c r="F16" s="16">
        <f t="shared" si="6"/>
        <v>13035.5</v>
      </c>
      <c r="G16" s="20">
        <f t="shared" si="6"/>
        <v>0.31897190215380078</v>
      </c>
      <c r="H16" s="16">
        <f t="shared" si="6"/>
        <v>9594.5</v>
      </c>
      <c r="I16" s="20">
        <f t="shared" si="6"/>
        <v>0.23098468388452129</v>
      </c>
      <c r="J16" s="16">
        <f t="shared" si="6"/>
        <v>7652.5</v>
      </c>
      <c r="K16" s="16">
        <f t="shared" si="6"/>
        <v>12365</v>
      </c>
      <c r="L16" s="16">
        <f t="shared" si="6"/>
        <v>-788.5</v>
      </c>
      <c r="M16" s="16">
        <f t="shared" si="6"/>
        <v>11526</v>
      </c>
      <c r="N16" s="20">
        <f t="shared" si="6"/>
        <v>0.29940935596830009</v>
      </c>
    </row>
    <row r="17" spans="1:15" ht="15" customHeight="1" x14ac:dyDescent="0.25">
      <c r="A17" s="14" t="s">
        <v>31</v>
      </c>
      <c r="C17" s="16">
        <f t="shared" ref="C17:N17" si="7">MAX(C8:C13)</f>
        <v>281724</v>
      </c>
      <c r="D17" s="16">
        <f t="shared" si="7"/>
        <v>193893</v>
      </c>
      <c r="E17" s="20">
        <f t="shared" si="7"/>
        <v>0.89267533341747651</v>
      </c>
      <c r="F17" s="16">
        <f t="shared" si="7"/>
        <v>162681</v>
      </c>
      <c r="G17" s="20">
        <f t="shared" si="7"/>
        <v>0.57744814073348383</v>
      </c>
      <c r="H17" s="16">
        <f t="shared" si="7"/>
        <v>128528</v>
      </c>
      <c r="I17" s="20">
        <f t="shared" si="7"/>
        <v>0.45621956240859851</v>
      </c>
      <c r="J17" s="16">
        <f t="shared" si="7"/>
        <v>101832</v>
      </c>
      <c r="K17" s="16">
        <f t="shared" si="7"/>
        <v>136162</v>
      </c>
      <c r="L17" s="16">
        <f t="shared" si="7"/>
        <v>-178</v>
      </c>
      <c r="M17" s="16">
        <f t="shared" si="7"/>
        <v>71611</v>
      </c>
      <c r="N17" s="20">
        <f t="shared" si="7"/>
        <v>0.41448946106272877</v>
      </c>
    </row>
    <row r="18" spans="1:15" ht="15" customHeight="1" x14ac:dyDescent="0.25">
      <c r="A18" s="14" t="s">
        <v>32</v>
      </c>
      <c r="C18" s="16">
        <f t="shared" ref="C18:N18" si="8">MIN(C8:C13)</f>
        <v>13278</v>
      </c>
      <c r="D18" s="16">
        <f t="shared" si="8"/>
        <v>10295</v>
      </c>
      <c r="E18" s="20">
        <f t="shared" si="8"/>
        <v>0.58187606426297478</v>
      </c>
      <c r="F18" s="16">
        <f t="shared" si="8"/>
        <v>2562</v>
      </c>
      <c r="G18" s="20">
        <f t="shared" si="8"/>
        <v>0.19295074559421599</v>
      </c>
      <c r="H18" s="16">
        <f t="shared" si="8"/>
        <v>1824</v>
      </c>
      <c r="I18" s="20">
        <f t="shared" si="8"/>
        <v>0.13737008585630367</v>
      </c>
      <c r="J18" s="16">
        <f t="shared" si="8"/>
        <v>1748</v>
      </c>
      <c r="K18" s="16">
        <f t="shared" si="8"/>
        <v>5444</v>
      </c>
      <c r="L18" s="16">
        <f t="shared" si="8"/>
        <v>-64551</v>
      </c>
      <c r="M18" s="16">
        <f t="shared" si="8"/>
        <v>4576</v>
      </c>
      <c r="N18" s="20">
        <f t="shared" si="8"/>
        <v>0.19545420892870363</v>
      </c>
    </row>
    <row r="20" spans="1:15" ht="15" customHeight="1" x14ac:dyDescent="0.25">
      <c r="A20" s="5" t="s">
        <v>48</v>
      </c>
    </row>
    <row r="21" spans="1:15" ht="15" customHeight="1" x14ac:dyDescent="0.25">
      <c r="A21" s="6"/>
      <c r="B21" s="6" t="s">
        <v>5</v>
      </c>
      <c r="C21" s="6" t="s">
        <v>49</v>
      </c>
      <c r="D21" s="6" t="s">
        <v>50</v>
      </c>
      <c r="E21" s="6" t="s">
        <v>51</v>
      </c>
      <c r="F21" s="6" t="s">
        <v>52</v>
      </c>
      <c r="G21" s="6" t="s">
        <v>53</v>
      </c>
      <c r="H21" s="6" t="s">
        <v>54</v>
      </c>
      <c r="I21" s="6" t="s">
        <v>55</v>
      </c>
      <c r="J21" s="6" t="s">
        <v>56</v>
      </c>
      <c r="K21" s="6"/>
      <c r="L21" s="6"/>
      <c r="M21" s="6"/>
      <c r="N21" s="6"/>
      <c r="O21" s="6"/>
    </row>
    <row r="22" spans="1:15" ht="15" customHeight="1" x14ac:dyDescent="0.25">
      <c r="A22" s="7" t="s">
        <v>15</v>
      </c>
      <c r="B22" s="7" t="s">
        <v>16</v>
      </c>
      <c r="C22" s="9">
        <v>68300</v>
      </c>
      <c r="D22" s="17">
        <f>C22/'Financial Data'!C6-1</f>
        <v>0.18991620063067294</v>
      </c>
      <c r="E22" s="9">
        <v>88400</v>
      </c>
      <c r="F22" s="17">
        <f>E22/C22-1</f>
        <v>0.29428989751098089</v>
      </c>
      <c r="G22" s="8">
        <v>7.52</v>
      </c>
      <c r="H22" s="8">
        <v>8.07</v>
      </c>
      <c r="I22" s="21">
        <v>0.25</v>
      </c>
      <c r="J22" s="9">
        <v>47</v>
      </c>
    </row>
    <row r="23" spans="1:15" ht="15" customHeight="1" x14ac:dyDescent="0.25">
      <c r="A23" s="12"/>
    </row>
    <row r="24" spans="1:15" ht="15" customHeight="1" x14ac:dyDescent="0.25">
      <c r="A24" s="12" t="s">
        <v>17</v>
      </c>
      <c r="B24" s="12" t="s">
        <v>18</v>
      </c>
      <c r="C24" s="9">
        <v>334600</v>
      </c>
      <c r="D24" s="17">
        <f>C24/'Financial Data'!C8-1</f>
        <v>0.18768723999375281</v>
      </c>
      <c r="E24" s="9">
        <v>386700</v>
      </c>
      <c r="F24" s="17">
        <f t="shared" ref="F24:F29" si="9">E24/C24-1</f>
        <v>0.15570830842797379</v>
      </c>
      <c r="G24" s="8">
        <v>16.920000000000002</v>
      </c>
      <c r="H24" s="8">
        <v>19.38</v>
      </c>
      <c r="I24" s="21">
        <v>0.13</v>
      </c>
      <c r="J24" s="9">
        <v>61</v>
      </c>
    </row>
    <row r="25" spans="1:15" ht="15" customHeight="1" x14ac:dyDescent="0.25">
      <c r="A25" s="12" t="s">
        <v>19</v>
      </c>
      <c r="B25" s="12" t="s">
        <v>20</v>
      </c>
      <c r="C25" s="9">
        <v>44300</v>
      </c>
      <c r="D25" s="17">
        <f>C25/'Financial Data'!C9-1</f>
        <v>0.10440765855604317</v>
      </c>
      <c r="E25" s="9">
        <v>49600</v>
      </c>
      <c r="F25" s="17">
        <f t="shared" si="9"/>
        <v>0.11963882618510158</v>
      </c>
      <c r="G25" s="8">
        <v>7.97</v>
      </c>
      <c r="H25" s="8">
        <v>9.32</v>
      </c>
      <c r="I25" s="21">
        <v>0.17</v>
      </c>
      <c r="J25" s="9">
        <v>36</v>
      </c>
    </row>
    <row r="26" spans="1:15" ht="15" customHeight="1" x14ac:dyDescent="0.25">
      <c r="A26" s="12" t="s">
        <v>21</v>
      </c>
      <c r="B26" s="12" t="s">
        <v>22</v>
      </c>
      <c r="C26" s="9">
        <v>46000</v>
      </c>
      <c r="D26" s="17">
        <f>C26/'Financial Data'!C10-1</f>
        <v>0.1077664057796508</v>
      </c>
      <c r="E26" s="9">
        <v>49500</v>
      </c>
      <c r="F26" s="17">
        <f t="shared" si="9"/>
        <v>7.6086956521739024E-2</v>
      </c>
      <c r="G26" s="8">
        <v>13.15</v>
      </c>
      <c r="H26" s="8">
        <v>14.66</v>
      </c>
      <c r="I26" s="21">
        <v>0.12</v>
      </c>
      <c r="J26" s="9">
        <v>55</v>
      </c>
    </row>
    <row r="27" spans="1:15" ht="15" customHeight="1" x14ac:dyDescent="0.25">
      <c r="A27" s="12" t="s">
        <v>23</v>
      </c>
      <c r="B27" s="12" t="s">
        <v>24</v>
      </c>
      <c r="C27" s="9">
        <v>71000</v>
      </c>
      <c r="D27" s="17">
        <f>C27/'Financial Data'!C11-1</f>
        <v>5.1306729843784815E-2</v>
      </c>
      <c r="E27" s="9">
        <v>75000</v>
      </c>
      <c r="F27" s="17">
        <f t="shared" si="9"/>
        <v>5.6338028169014009E-2</v>
      </c>
      <c r="G27" s="8">
        <v>12.51</v>
      </c>
      <c r="H27" s="8">
        <v>13.57</v>
      </c>
      <c r="I27" s="21">
        <v>0.08</v>
      </c>
      <c r="J27" s="9">
        <v>24</v>
      </c>
    </row>
    <row r="28" spans="1:15" ht="15" customHeight="1" x14ac:dyDescent="0.25">
      <c r="A28" s="12" t="s">
        <v>25</v>
      </c>
      <c r="B28" s="12" t="s">
        <v>26</v>
      </c>
      <c r="C28" s="9">
        <v>16000</v>
      </c>
      <c r="D28" s="17">
        <f>C28/'Financial Data'!C12-1</f>
        <v>0.20500075312547072</v>
      </c>
      <c r="E28" s="9">
        <v>20000</v>
      </c>
      <c r="F28" s="17">
        <f t="shared" si="9"/>
        <v>0.25</v>
      </c>
      <c r="G28" s="8">
        <v>4.1900000000000004</v>
      </c>
      <c r="H28" s="8">
        <v>5.56</v>
      </c>
      <c r="I28" s="21">
        <v>0.22</v>
      </c>
      <c r="J28" s="9">
        <v>49</v>
      </c>
    </row>
    <row r="29" spans="1:15" ht="15" customHeight="1" x14ac:dyDescent="0.25">
      <c r="A29" s="12" t="s">
        <v>27</v>
      </c>
      <c r="B29" s="12" t="s">
        <v>28</v>
      </c>
      <c r="C29" s="9">
        <v>26000</v>
      </c>
      <c r="D29" s="17">
        <f>C29/'Financial Data'!C13-1</f>
        <v>9.3861752703100709E-2</v>
      </c>
      <c r="E29" s="9">
        <v>28500</v>
      </c>
      <c r="F29" s="17">
        <f t="shared" si="9"/>
        <v>9.6153846153846256E-2</v>
      </c>
      <c r="G29" s="8">
        <v>23.4</v>
      </c>
      <c r="H29" s="8">
        <v>26.5</v>
      </c>
      <c r="I29" s="21">
        <v>0.11</v>
      </c>
      <c r="J29" s="9">
        <v>36</v>
      </c>
    </row>
    <row r="31" spans="1:15" ht="15" customHeight="1" x14ac:dyDescent="0.25">
      <c r="A31" s="14" t="s">
        <v>29</v>
      </c>
      <c r="C31" s="16">
        <f t="shared" ref="C31:J31" si="10">AVERAGE(C24:C29)</f>
        <v>89650</v>
      </c>
      <c r="D31" s="20">
        <f t="shared" si="10"/>
        <v>0.1250050900003005</v>
      </c>
      <c r="E31" s="16">
        <f t="shared" si="10"/>
        <v>101550</v>
      </c>
      <c r="F31" s="20">
        <f t="shared" si="10"/>
        <v>0.12565432757627912</v>
      </c>
      <c r="G31" s="15">
        <f t="shared" si="10"/>
        <v>13.023333333333332</v>
      </c>
      <c r="H31" s="15">
        <f t="shared" si="10"/>
        <v>14.831666666666669</v>
      </c>
      <c r="I31" s="20">
        <f t="shared" si="10"/>
        <v>0.13833333333333334</v>
      </c>
      <c r="J31" s="16">
        <f t="shared" si="10"/>
        <v>43.5</v>
      </c>
    </row>
    <row r="32" spans="1:15" ht="15" customHeight="1" x14ac:dyDescent="0.25">
      <c r="A32" s="14" t="s">
        <v>30</v>
      </c>
      <c r="C32" s="16">
        <f t="shared" ref="C32:J32" si="11">MEDIAN(C24:C29)</f>
        <v>45150</v>
      </c>
      <c r="D32" s="20">
        <f t="shared" si="11"/>
        <v>0.10608703216784698</v>
      </c>
      <c r="E32" s="16">
        <f t="shared" si="11"/>
        <v>49550</v>
      </c>
      <c r="F32" s="20">
        <f t="shared" si="11"/>
        <v>0.10789633616947392</v>
      </c>
      <c r="G32" s="15">
        <f t="shared" si="11"/>
        <v>12.83</v>
      </c>
      <c r="H32" s="15">
        <f t="shared" si="11"/>
        <v>14.115</v>
      </c>
      <c r="I32" s="20">
        <f t="shared" si="11"/>
        <v>0.125</v>
      </c>
      <c r="J32" s="16">
        <f t="shared" si="11"/>
        <v>42.5</v>
      </c>
    </row>
    <row r="35" spans="1:15" ht="15" customHeight="1" x14ac:dyDescent="0.25">
      <c r="A35" s="5" t="s">
        <v>57</v>
      </c>
    </row>
    <row r="36" spans="1:15" ht="15" customHeight="1" x14ac:dyDescent="0.25">
      <c r="A36" s="6"/>
      <c r="B36" s="6" t="s">
        <v>5</v>
      </c>
      <c r="C36" s="6" t="s">
        <v>58</v>
      </c>
      <c r="D36" s="6" t="s">
        <v>59</v>
      </c>
      <c r="E36" s="6" t="s">
        <v>60</v>
      </c>
      <c r="F36" s="6" t="s">
        <v>61</v>
      </c>
      <c r="G36" s="6" t="s">
        <v>62</v>
      </c>
      <c r="H36" s="6" t="s">
        <v>63</v>
      </c>
      <c r="I36" s="6" t="s">
        <v>64</v>
      </c>
      <c r="J36" s="6" t="s">
        <v>65</v>
      </c>
      <c r="K36" s="6"/>
      <c r="L36" s="6"/>
      <c r="M36" s="6"/>
      <c r="N36" s="6"/>
      <c r="O36" s="6"/>
    </row>
    <row r="37" spans="1:15" ht="15" customHeight="1" x14ac:dyDescent="0.25">
      <c r="A37" s="7" t="s">
        <v>15</v>
      </c>
      <c r="B37" s="7" t="s">
        <v>16</v>
      </c>
      <c r="C37" s="21">
        <v>0.106</v>
      </c>
      <c r="D37" s="21">
        <v>0.193</v>
      </c>
      <c r="E37" s="21">
        <v>0.14699999999999999</v>
      </c>
      <c r="F37" s="21">
        <v>7.3999999999999996E-2</v>
      </c>
      <c r="G37" s="22">
        <f>('Market Data'!F8-'Market Data'!G8)/'Financial Data'!F6</f>
        <v>3.5655710212980045</v>
      </c>
      <c r="H37" s="22">
        <f>'Financial Data'!F6/3578</f>
        <v>6.666294019005031</v>
      </c>
      <c r="I37" s="9">
        <v>162000</v>
      </c>
      <c r="J37" s="13">
        <f>'Financial Data'!C6/I37*1000</f>
        <v>354.31481481481478</v>
      </c>
    </row>
    <row r="38" spans="1:15" ht="15" customHeight="1" x14ac:dyDescent="0.25">
      <c r="A38" s="12"/>
    </row>
    <row r="39" spans="1:15" ht="15" customHeight="1" x14ac:dyDescent="0.25">
      <c r="A39" s="12" t="s">
        <v>17</v>
      </c>
      <c r="B39" s="12" t="s">
        <v>18</v>
      </c>
      <c r="C39" s="21">
        <v>0.125</v>
      </c>
      <c r="D39" s="21">
        <v>0.185</v>
      </c>
      <c r="E39" s="21">
        <v>0.35099999999999998</v>
      </c>
      <c r="F39" s="21">
        <v>0.16500000000000001</v>
      </c>
      <c r="G39" s="22">
        <f>('Market Data'!F10-'Market Data'!G10)/'Financial Data'!F8</f>
        <v>-0.2658085455584856</v>
      </c>
      <c r="H39" s="22">
        <f>'Financial Data'!F8/2700</f>
        <v>60.252222222222223</v>
      </c>
      <c r="I39" s="9">
        <v>228000</v>
      </c>
      <c r="J39" s="13">
        <f>'Financial Data'!C8/I39*1000</f>
        <v>1235.6315789473683</v>
      </c>
    </row>
    <row r="40" spans="1:15" ht="15" customHeight="1" x14ac:dyDescent="0.25">
      <c r="A40" s="12" t="s">
        <v>19</v>
      </c>
      <c r="B40" s="12" t="s">
        <v>20</v>
      </c>
      <c r="C40" s="21">
        <v>0.06</v>
      </c>
      <c r="D40" s="21">
        <v>0.20499999999999999</v>
      </c>
      <c r="E40" s="21">
        <v>0.159</v>
      </c>
      <c r="F40" s="21">
        <v>0.11</v>
      </c>
      <c r="G40" s="22">
        <f>('Market Data'!F11-'Market Data'!G11)/'Financial Data'!F9</f>
        <v>-4.5752182672934856E-2</v>
      </c>
      <c r="H40" s="22">
        <f>'Financial Data'!F9/1036</f>
        <v>11.498069498069498</v>
      </c>
      <c r="I40" s="9">
        <v>110000</v>
      </c>
      <c r="J40" s="13">
        <f>'Financial Data'!C9/I40*1000</f>
        <v>364.65454545454543</v>
      </c>
    </row>
    <row r="41" spans="1:15" ht="15" customHeight="1" x14ac:dyDescent="0.25">
      <c r="A41" s="12" t="s">
        <v>21</v>
      </c>
      <c r="B41" s="12" t="s">
        <v>22</v>
      </c>
      <c r="C41" s="21">
        <v>9.8000000000000004E-2</v>
      </c>
      <c r="D41" s="21">
        <v>0.29699999999999999</v>
      </c>
      <c r="E41" s="21">
        <v>0.10199999999999999</v>
      </c>
      <c r="F41" s="21">
        <v>6.6000000000000003E-2</v>
      </c>
      <c r="G41" s="22">
        <f>('Market Data'!F12-'Market Data'!G12)/'Financial Data'!F10</f>
        <v>0.34423334981283987</v>
      </c>
      <c r="H41" s="22">
        <f>'Financial Data'!F10/330</f>
        <v>42.906060606060606</v>
      </c>
      <c r="I41" s="9">
        <v>83334</v>
      </c>
      <c r="J41" s="13">
        <f>'Financial Data'!C10/I41*1000</f>
        <v>498.29601363189096</v>
      </c>
    </row>
    <row r="42" spans="1:15" ht="15" customHeight="1" x14ac:dyDescent="0.25">
      <c r="A42" s="12" t="s">
        <v>23</v>
      </c>
      <c r="B42" s="12" t="s">
        <v>24</v>
      </c>
      <c r="C42" s="21">
        <v>3.6999999999999998E-2</v>
      </c>
      <c r="D42" s="21">
        <v>7.1999999999999995E-2</v>
      </c>
      <c r="E42" s="21">
        <v>0.121</v>
      </c>
      <c r="F42" s="21">
        <v>7.0000000000000007E-2</v>
      </c>
      <c r="G42" s="22">
        <f>('Market Data'!F13-'Market Data'!G13)/'Financial Data'!F11</f>
        <v>3.1368749999999999</v>
      </c>
      <c r="H42" s="22">
        <f>'Financial Data'!F11/1900</f>
        <v>8.4210526315789469</v>
      </c>
      <c r="I42" s="9">
        <v>270300</v>
      </c>
      <c r="J42" s="13">
        <f>'Financial Data'!C11/I42*1000</f>
        <v>249.85201627820942</v>
      </c>
    </row>
    <row r="43" spans="1:15" ht="15" customHeight="1" x14ac:dyDescent="0.25">
      <c r="A43" s="12" t="s">
        <v>25</v>
      </c>
      <c r="B43" s="12" t="s">
        <v>26</v>
      </c>
      <c r="C43" s="21">
        <v>0.224</v>
      </c>
      <c r="D43" s="21">
        <v>0.46800000000000003</v>
      </c>
      <c r="E43" s="21">
        <v>0.32</v>
      </c>
      <c r="F43" s="21">
        <v>8.3000000000000004E-2</v>
      </c>
      <c r="G43" s="22">
        <f>('Market Data'!F14-'Market Data'!G14)/'Financial Data'!F12</f>
        <v>-1.5612802498048399</v>
      </c>
      <c r="H43" s="22">
        <f>'Financial Data'!F12/24</f>
        <v>106.75</v>
      </c>
      <c r="I43" s="9">
        <v>23000</v>
      </c>
      <c r="J43" s="13">
        <f>'Financial Data'!C12/I43*1000</f>
        <v>577.304347826087</v>
      </c>
    </row>
    <row r="44" spans="1:15" ht="15" customHeight="1" x14ac:dyDescent="0.25">
      <c r="A44" s="12" t="s">
        <v>27</v>
      </c>
      <c r="B44" s="12" t="s">
        <v>28</v>
      </c>
      <c r="C44" s="21">
        <v>0.105</v>
      </c>
      <c r="D44" s="21">
        <v>0.111</v>
      </c>
      <c r="E44" s="21">
        <v>0.504</v>
      </c>
      <c r="F44" s="21">
        <v>0.24199999999999999</v>
      </c>
      <c r="G44" s="22">
        <f>('Market Data'!F15-'Market Data'!G15)/'Financial Data'!F13</f>
        <v>-9.3973120537589244E-2</v>
      </c>
      <c r="H44" s="22">
        <f>'Financial Data'!F13/263</f>
        <v>36.21292775665399</v>
      </c>
      <c r="I44" s="9">
        <v>31360</v>
      </c>
      <c r="J44" s="13">
        <f>'Financial Data'!C13/I44*1000</f>
        <v>757.94005102040819</v>
      </c>
    </row>
    <row r="46" spans="1:15" ht="15" customHeight="1" x14ac:dyDescent="0.25">
      <c r="A46" s="14" t="s">
        <v>29</v>
      </c>
      <c r="C46" s="20">
        <f t="shared" ref="C46:J46" si="12">AVERAGE(C39:C44)</f>
        <v>0.10816666666666667</v>
      </c>
      <c r="D46" s="20">
        <f t="shared" si="12"/>
        <v>0.223</v>
      </c>
      <c r="E46" s="20">
        <f t="shared" si="12"/>
        <v>0.25950000000000001</v>
      </c>
      <c r="F46" s="20">
        <f t="shared" si="12"/>
        <v>0.12266666666666666</v>
      </c>
      <c r="G46" s="23">
        <f t="shared" si="12"/>
        <v>0.25238237520649837</v>
      </c>
      <c r="H46" s="23">
        <f t="shared" si="12"/>
        <v>44.340055452430875</v>
      </c>
      <c r="I46" s="16">
        <f t="shared" si="12"/>
        <v>124332.33333333333</v>
      </c>
      <c r="J46" s="16">
        <f t="shared" si="12"/>
        <v>613.94642552641824</v>
      </c>
    </row>
    <row r="47" spans="1:15" ht="15" customHeight="1" x14ac:dyDescent="0.25">
      <c r="A47" s="14" t="s">
        <v>30</v>
      </c>
      <c r="C47" s="20">
        <f t="shared" ref="C47:J47" si="13">MEDIAN(C39:C44)</f>
        <v>0.10150000000000001</v>
      </c>
      <c r="D47" s="20">
        <f t="shared" si="13"/>
        <v>0.19500000000000001</v>
      </c>
      <c r="E47" s="20">
        <f t="shared" si="13"/>
        <v>0.23949999999999999</v>
      </c>
      <c r="F47" s="20">
        <f t="shared" si="13"/>
        <v>9.6500000000000002E-2</v>
      </c>
      <c r="G47" s="23">
        <f t="shared" si="13"/>
        <v>-6.9862651605262047E-2</v>
      </c>
      <c r="H47" s="23">
        <f t="shared" si="13"/>
        <v>39.559494181357294</v>
      </c>
      <c r="I47" s="16">
        <f t="shared" si="13"/>
        <v>96667</v>
      </c>
      <c r="J47" s="16">
        <f t="shared" si="13"/>
        <v>537.80018072898895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J37"/>
  <sheetViews>
    <sheetView tabSelected="1" zoomScaleNormal="100" workbookViewId="0">
      <selection activeCell="E16" sqref="E16"/>
    </sheetView>
  </sheetViews>
  <sheetFormatPr defaultColWidth="8.7109375" defaultRowHeight="15" x14ac:dyDescent="0.25"/>
  <cols>
    <col min="1" max="1" width="38" customWidth="1"/>
    <col min="2" max="2" width="10" customWidth="1"/>
    <col min="3" max="10" width="14" customWidth="1"/>
  </cols>
  <sheetData>
    <row r="1" spans="1:10" ht="17.25" customHeight="1" x14ac:dyDescent="0.25">
      <c r="A1" s="1" t="s">
        <v>0</v>
      </c>
    </row>
    <row r="2" spans="1:10" ht="15" customHeight="1" x14ac:dyDescent="0.25">
      <c r="A2" s="2" t="s">
        <v>66</v>
      </c>
    </row>
    <row r="4" spans="1:10" ht="15" customHeight="1" x14ac:dyDescent="0.25">
      <c r="A4" s="5" t="s">
        <v>67</v>
      </c>
    </row>
    <row r="5" spans="1:10" ht="15" customHeight="1" x14ac:dyDescent="0.25">
      <c r="A5" s="6"/>
      <c r="B5" s="6" t="s">
        <v>5</v>
      </c>
      <c r="C5" s="6" t="s">
        <v>68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73</v>
      </c>
      <c r="I5" s="6" t="s">
        <v>74</v>
      </c>
      <c r="J5" s="6"/>
    </row>
    <row r="6" spans="1:10" ht="15" customHeight="1" x14ac:dyDescent="0.25">
      <c r="A6" s="7" t="s">
        <v>15</v>
      </c>
      <c r="B6" s="7" t="s">
        <v>16</v>
      </c>
      <c r="C6" s="22">
        <f>'Market Data'!J8/'Financial Data'!C6</f>
        <v>9.2668234638234122</v>
      </c>
      <c r="D6" s="22">
        <f>'Market Data'!J8/'Financial Data'!D6</f>
        <v>13.142577584502867</v>
      </c>
      <c r="E6" s="22">
        <f>'Market Data'!J8/'Financial Data'!F6</f>
        <v>22.300285091396947</v>
      </c>
      <c r="F6" s="22">
        <f>'Market Data'!J8/'Financial Data'!H6</f>
        <v>30.088607308519066</v>
      </c>
      <c r="G6" s="22">
        <f>'Market Data'!E8/'Financial Data'!J6</f>
        <v>35.870963593988591</v>
      </c>
      <c r="H6" s="24" t="s">
        <v>75</v>
      </c>
      <c r="I6" s="17">
        <f>'Financial Data'!M6/'Market Data'!E8</f>
        <v>-8.9617298289385006E-4</v>
      </c>
    </row>
    <row r="7" spans="1:10" ht="15" customHeight="1" x14ac:dyDescent="0.25">
      <c r="A7" s="12"/>
    </row>
    <row r="8" spans="1:10" ht="15" customHeight="1" x14ac:dyDescent="0.25">
      <c r="A8" s="12" t="s">
        <v>17</v>
      </c>
      <c r="B8" s="12" t="s">
        <v>18</v>
      </c>
      <c r="C8" s="22">
        <f>'Market Data'!J10/'Financial Data'!C8</f>
        <v>10.043942120657098</v>
      </c>
      <c r="D8" s="22">
        <f>'Market Data'!J10/'Financial Data'!D8</f>
        <v>14.593716895401073</v>
      </c>
      <c r="E8" s="22">
        <f>'Market Data'!J10/'Financial Data'!F8</f>
        <v>17.393669512727364</v>
      </c>
      <c r="F8" s="22">
        <f>'Market Data'!J10/'Financial Data'!H8</f>
        <v>22.015588432092621</v>
      </c>
      <c r="G8" s="22">
        <f>'Market Data'!E10/'Financial Data'!J8</f>
        <v>28.199009643334122</v>
      </c>
      <c r="H8" s="22">
        <f>'Market Data'!E10/'Financial Data'!M8</f>
        <v>40.099447710547267</v>
      </c>
      <c r="I8" s="17">
        <f>'Financial Data'!M8/'Market Data'!E10</f>
        <v>2.4937999326533674E-2</v>
      </c>
    </row>
    <row r="9" spans="1:10" ht="15" customHeight="1" x14ac:dyDescent="0.25">
      <c r="A9" s="12" t="s">
        <v>19</v>
      </c>
      <c r="B9" s="12" t="s">
        <v>20</v>
      </c>
      <c r="C9" s="22">
        <f>'Market Data'!J11/'Financial Data'!C9</f>
        <v>5.6284204228161148</v>
      </c>
      <c r="D9" s="22">
        <f>'Market Data'!J11/'Financial Data'!D9</f>
        <v>7.7246108050774964</v>
      </c>
      <c r="E9" s="22">
        <f>'Market Data'!J11/'Financial Data'!F9</f>
        <v>18.952921423774345</v>
      </c>
      <c r="F9" s="22">
        <f>'Market Data'!J11/'Financial Data'!H9</f>
        <v>21.536506725174089</v>
      </c>
      <c r="G9" s="22">
        <f>'Market Data'!E11/'Financial Data'!J9</f>
        <v>28.760474006116205</v>
      </c>
      <c r="H9" s="22">
        <f>'Market Data'!E11/'Financial Data'!M9</f>
        <v>26.38057503506311</v>
      </c>
      <c r="I9" s="17">
        <f>'Financial Data'!M9/'Market Data'!E11</f>
        <v>3.7906679390834877E-2</v>
      </c>
    </row>
    <row r="10" spans="1:10" ht="15" customHeight="1" x14ac:dyDescent="0.25">
      <c r="A10" s="12" t="s">
        <v>21</v>
      </c>
      <c r="B10" s="12" t="s">
        <v>22</v>
      </c>
      <c r="C10" s="22">
        <f>'Market Data'!J12/'Financial Data'!C10</f>
        <v>4.6064886213124625</v>
      </c>
      <c r="D10" s="22">
        <f>'Market Data'!J12/'Financial Data'!D10</f>
        <v>5.9303810261974892</v>
      </c>
      <c r="E10" s="22">
        <f>'Market Data'!J12/'Financial Data'!F10</f>
        <v>13.509742213433153</v>
      </c>
      <c r="F10" s="22">
        <f>'Market Data'!J12/'Financial Data'!H10</f>
        <v>22.960561757292041</v>
      </c>
      <c r="G10" s="22">
        <f>'Market Data'!E12/'Financial Data'!J10</f>
        <v>24.998047472173798</v>
      </c>
      <c r="H10" s="22">
        <f>'Market Data'!E12/'Financial Data'!M10</f>
        <v>12.945169444444444</v>
      </c>
      <c r="I10" s="17">
        <f>'Financial Data'!M10/'Market Data'!E12</f>
        <v>7.7248892283071705E-2</v>
      </c>
    </row>
    <row r="11" spans="1:10" ht="15" customHeight="1" x14ac:dyDescent="0.25">
      <c r="A11" s="12" t="s">
        <v>23</v>
      </c>
      <c r="B11" s="12" t="s">
        <v>24</v>
      </c>
      <c r="C11" s="22">
        <f>'Market Data'!J13/'Financial Data'!C11</f>
        <v>4.2479107129636491</v>
      </c>
      <c r="D11" s="22">
        <f>'Market Data'!J13/'Financial Data'!D11</f>
        <v>7.3003702572715481</v>
      </c>
      <c r="E11" s="22">
        <f>'Market Data'!J13/'Financial Data'!F11</f>
        <v>17.930165625000001</v>
      </c>
      <c r="F11" s="22">
        <f>'Market Data'!J13/'Financial Data'!H11</f>
        <v>24.266845711385553</v>
      </c>
      <c r="G11" s="22">
        <f>'Market Data'!E13/'Financial Data'!J11</f>
        <v>22.38407284768212</v>
      </c>
      <c r="H11" s="22">
        <f>'Market Data'!E13/'Financial Data'!M11</f>
        <v>17.924215909090908</v>
      </c>
      <c r="I11" s="17">
        <f>'Financial Data'!M11/'Market Data'!E13</f>
        <v>5.5790446012916758E-2</v>
      </c>
    </row>
    <row r="12" spans="1:10" ht="15" customHeight="1" x14ac:dyDescent="0.25">
      <c r="A12" s="12" t="s">
        <v>25</v>
      </c>
      <c r="B12" s="12" t="s">
        <v>26</v>
      </c>
      <c r="C12" s="22">
        <f>'Market Data'!J14/'Financial Data'!C12</f>
        <v>8.6303426720891707</v>
      </c>
      <c r="D12" s="22">
        <f>'Market Data'!J14/'Financial Data'!D12</f>
        <v>11.13100437105391</v>
      </c>
      <c r="E12" s="22">
        <f>'Market Data'!J14/'Financial Data'!F12</f>
        <v>44.728216237314598</v>
      </c>
      <c r="F12" s="22">
        <f>'Market Data'!J14/'Financial Data'!H12</f>
        <v>62.825487938596495</v>
      </c>
      <c r="G12" s="22">
        <f>'Market Data'!E14/'Financial Data'!J12</f>
        <v>67.845360411899321</v>
      </c>
      <c r="H12" s="22">
        <f>'Market Data'!E14/'Financial Data'!M12</f>
        <v>25.916453234265735</v>
      </c>
      <c r="I12" s="17">
        <f>'Financial Data'!M12/'Market Data'!E14</f>
        <v>3.8585526767908142E-2</v>
      </c>
    </row>
    <row r="13" spans="1:10" ht="15" customHeight="1" x14ac:dyDescent="0.25">
      <c r="A13" s="12" t="s">
        <v>27</v>
      </c>
      <c r="B13" s="12" t="s">
        <v>28</v>
      </c>
      <c r="C13" s="22">
        <f>'Market Data'!J15/'Financial Data'!C13</f>
        <v>4.3814518911186848</v>
      </c>
      <c r="D13" s="22">
        <f>'Market Data'!J15/'Financial Data'!D13</f>
        <v>4.9082255632010563</v>
      </c>
      <c r="E13" s="22">
        <f>'Market Data'!J15/'Financial Data'!F13</f>
        <v>10.934767954640908</v>
      </c>
      <c r="F13" s="22">
        <f>'Market Data'!J15/'Financial Data'!H13</f>
        <v>11.962178957041122</v>
      </c>
      <c r="G13" s="22">
        <f>'Market Data'!E15/'Financial Data'!J13</f>
        <v>14.731799438990183</v>
      </c>
      <c r="H13" s="22">
        <f>'Market Data'!E15/'Financial Data'!M13</f>
        <v>10.661564149411289</v>
      </c>
      <c r="I13" s="17">
        <f>'Financial Data'!M13/'Market Data'!E15</f>
        <v>9.3794867806073101E-2</v>
      </c>
    </row>
    <row r="15" spans="1:10" ht="15" customHeight="1" x14ac:dyDescent="0.25">
      <c r="A15" s="14" t="s">
        <v>29</v>
      </c>
      <c r="C15" s="23">
        <f t="shared" ref="C15:I15" si="0">AVERAGE(C8:C13)</f>
        <v>6.2564260734928636</v>
      </c>
      <c r="D15" s="23">
        <f t="shared" si="0"/>
        <v>8.5980514863670958</v>
      </c>
      <c r="E15" s="23">
        <f t="shared" si="0"/>
        <v>20.574913827815063</v>
      </c>
      <c r="F15" s="23">
        <f t="shared" si="0"/>
        <v>27.594528253596987</v>
      </c>
      <c r="G15" s="23">
        <f t="shared" si="0"/>
        <v>31.153127303365959</v>
      </c>
      <c r="H15" s="23">
        <f t="shared" si="0"/>
        <v>22.321237580470456</v>
      </c>
      <c r="I15" s="20">
        <f t="shared" si="0"/>
        <v>5.4710735264556366E-2</v>
      </c>
    </row>
    <row r="16" spans="1:10" ht="15" customHeight="1" x14ac:dyDescent="0.25">
      <c r="A16" s="14" t="s">
        <v>30</v>
      </c>
      <c r="C16" s="23">
        <f t="shared" ref="C16:I16" si="1">MEDIAN(C8:C13)</f>
        <v>5.1174545220642891</v>
      </c>
      <c r="D16" s="23">
        <f t="shared" si="1"/>
        <v>7.5124905311745227</v>
      </c>
      <c r="E16" s="23">
        <f t="shared" si="1"/>
        <v>17.661917568863682</v>
      </c>
      <c r="F16" s="23">
        <f t="shared" si="1"/>
        <v>22.488075094692331</v>
      </c>
      <c r="G16" s="23">
        <f t="shared" si="1"/>
        <v>26.598528557753959</v>
      </c>
      <c r="H16" s="23">
        <f t="shared" si="1"/>
        <v>21.920334571678321</v>
      </c>
      <c r="I16" s="20">
        <f t="shared" si="1"/>
        <v>4.7187986390412454E-2</v>
      </c>
    </row>
    <row r="17" spans="1:10" ht="15" customHeight="1" x14ac:dyDescent="0.25">
      <c r="A17" s="14" t="s">
        <v>31</v>
      </c>
      <c r="C17" s="23">
        <f t="shared" ref="C17:I17" si="2">MAX(C8:C13)</f>
        <v>10.043942120657098</v>
      </c>
      <c r="D17" s="23">
        <f t="shared" si="2"/>
        <v>14.593716895401073</v>
      </c>
      <c r="E17" s="23">
        <f t="shared" si="2"/>
        <v>44.728216237314598</v>
      </c>
      <c r="F17" s="23">
        <f t="shared" si="2"/>
        <v>62.825487938596495</v>
      </c>
      <c r="G17" s="23">
        <f t="shared" si="2"/>
        <v>67.845360411899321</v>
      </c>
      <c r="H17" s="23">
        <f t="shared" si="2"/>
        <v>40.099447710547267</v>
      </c>
      <c r="I17" s="20">
        <f t="shared" si="2"/>
        <v>9.3794867806073101E-2</v>
      </c>
    </row>
    <row r="18" spans="1:10" ht="15" customHeight="1" x14ac:dyDescent="0.25">
      <c r="A18" s="14" t="s">
        <v>32</v>
      </c>
      <c r="C18" s="23">
        <f t="shared" ref="C18:I18" si="3">MIN(C8:C13)</f>
        <v>4.2479107129636491</v>
      </c>
      <c r="D18" s="23">
        <f t="shared" si="3"/>
        <v>4.9082255632010563</v>
      </c>
      <c r="E18" s="23">
        <f t="shared" si="3"/>
        <v>10.934767954640908</v>
      </c>
      <c r="F18" s="23">
        <f t="shared" si="3"/>
        <v>11.962178957041122</v>
      </c>
      <c r="G18" s="23">
        <f t="shared" si="3"/>
        <v>14.731799438990183</v>
      </c>
      <c r="H18" s="23">
        <f t="shared" si="3"/>
        <v>10.661564149411289</v>
      </c>
      <c r="I18" s="20">
        <f t="shared" si="3"/>
        <v>2.4937999326533674E-2</v>
      </c>
    </row>
    <row r="19" spans="1:10" ht="15" customHeight="1" x14ac:dyDescent="0.25">
      <c r="A19" s="24" t="s">
        <v>76</v>
      </c>
      <c r="C19" s="25">
        <f>(C6/C16)-1</f>
        <v>0.81082673502398661</v>
      </c>
      <c r="D19" s="25">
        <f>(D6/D16)-1</f>
        <v>0.74943016965748122</v>
      </c>
      <c r="E19" s="25">
        <f>(E6/E16)-1</f>
        <v>0.26261970165177728</v>
      </c>
      <c r="F19" s="25">
        <f>(F6/F16)-1</f>
        <v>0.33798056000002519</v>
      </c>
      <c r="G19" s="25">
        <f>(G6/G16)-1</f>
        <v>0.34860706734589453</v>
      </c>
      <c r="H19" s="26" t="s">
        <v>75</v>
      </c>
      <c r="I19" s="25">
        <f>(I6/I16)-1</f>
        <v>-1.018991549575337</v>
      </c>
    </row>
    <row r="22" spans="1:10" ht="15" customHeight="1" x14ac:dyDescent="0.25">
      <c r="A22" s="5" t="s">
        <v>77</v>
      </c>
    </row>
    <row r="23" spans="1:10" ht="15" customHeight="1" x14ac:dyDescent="0.25">
      <c r="A23" s="6"/>
      <c r="B23" s="6" t="s">
        <v>5</v>
      </c>
      <c r="C23" s="6" t="s">
        <v>78</v>
      </c>
      <c r="D23" s="6" t="s">
        <v>79</v>
      </c>
      <c r="E23" s="6" t="s">
        <v>80</v>
      </c>
      <c r="F23" s="6" t="s">
        <v>81</v>
      </c>
      <c r="G23" s="6"/>
      <c r="H23" s="6"/>
      <c r="I23" s="6"/>
      <c r="J23" s="6"/>
    </row>
    <row r="24" spans="1:10" ht="15" customHeight="1" x14ac:dyDescent="0.25">
      <c r="A24" s="7" t="s">
        <v>15</v>
      </c>
      <c r="B24" s="7" t="s">
        <v>16</v>
      </c>
      <c r="C24" s="22">
        <f>'Market Data'!J8/'Financial Data'!C22</f>
        <v>7.7877950219619327</v>
      </c>
      <c r="D24" s="22">
        <f>'Market Data'!J8/('Financial Data'!C22*'Financial Data'!G6)</f>
        <v>18.741055109240023</v>
      </c>
      <c r="E24" s="22">
        <f>'Market Data'!C8/'Financial Data'!G22</f>
        <v>20.680851063829788</v>
      </c>
      <c r="F24" s="22">
        <f>IF('Financial Data'!I22=0,"N/M",(E24)/('Financial Data'!I22*100))</f>
        <v>0.82723404255319155</v>
      </c>
    </row>
    <row r="25" spans="1:10" ht="15" customHeight="1" x14ac:dyDescent="0.25">
      <c r="A25" s="12"/>
    </row>
    <row r="26" spans="1:10" ht="15" customHeight="1" x14ac:dyDescent="0.25">
      <c r="A26" s="12" t="s">
        <v>17</v>
      </c>
      <c r="B26" s="12" t="s">
        <v>18</v>
      </c>
      <c r="C26" s="22">
        <f>'Market Data'!J10/'Financial Data'!C24</f>
        <v>8.4567231022115976</v>
      </c>
      <c r="D26" s="22">
        <f>'Market Data'!J10/('Financial Data'!C24*'Financial Data'!G8)</f>
        <v>14.644991481780048</v>
      </c>
      <c r="E26" s="22">
        <f>'Market Data'!C10/'Financial Data'!G24</f>
        <v>22.734633569739952</v>
      </c>
      <c r="F26" s="22">
        <f>IF('Financial Data'!I24=0,"N/M",(E26)/('Financial Data'!I24*100))</f>
        <v>1.7488179669030732</v>
      </c>
    </row>
    <row r="27" spans="1:10" ht="15" customHeight="1" x14ac:dyDescent="0.25">
      <c r="A27" s="12" t="s">
        <v>19</v>
      </c>
      <c r="B27" s="12" t="s">
        <v>20</v>
      </c>
      <c r="C27" s="22">
        <f>'Market Data'!J11/'Financial Data'!C25</f>
        <v>5.0963250564334084</v>
      </c>
      <c r="D27" s="22">
        <f>'Market Data'!J11/('Financial Data'!C25*'Financial Data'!G9)</f>
        <v>17.161164427775091</v>
      </c>
      <c r="E27" s="22">
        <f>'Market Data'!C11/'Financial Data'!G25</f>
        <v>23.213299874529486</v>
      </c>
      <c r="F27" s="22">
        <f>IF('Financial Data'!I25=0,"N/M",(E27)/('Financial Data'!I25*100))</f>
        <v>1.3654882279134992</v>
      </c>
    </row>
    <row r="28" spans="1:10" ht="15" customHeight="1" x14ac:dyDescent="0.25">
      <c r="A28" s="12" t="s">
        <v>21</v>
      </c>
      <c r="B28" s="12" t="s">
        <v>22</v>
      </c>
      <c r="C28" s="22">
        <f>'Market Data'!J12/'Financial Data'!C26</f>
        <v>4.1583573913043477</v>
      </c>
      <c r="D28" s="22">
        <f>'Market Data'!J12/('Financial Data'!C26*'Financial Data'!G10)</f>
        <v>12.195479248104602</v>
      </c>
      <c r="E28" s="22">
        <f>'Market Data'!C12/'Financial Data'!G26</f>
        <v>14.828136882129279</v>
      </c>
      <c r="F28" s="22">
        <f>IF('Financial Data'!I26=0,"N/M",(E28)/('Financial Data'!I26*100))</f>
        <v>1.2356780735107733</v>
      </c>
    </row>
    <row r="29" spans="1:10" ht="15" customHeight="1" x14ac:dyDescent="0.25">
      <c r="A29" s="12" t="s">
        <v>23</v>
      </c>
      <c r="B29" s="12" t="s">
        <v>24</v>
      </c>
      <c r="C29" s="22">
        <f>'Market Data'!J13/'Financial Data'!C27</f>
        <v>4.0406007042253522</v>
      </c>
      <c r="D29" s="22">
        <f>'Market Data'!J13/('Financial Data'!C27*'Financial Data'!G11)</f>
        <v>17.055123034991198</v>
      </c>
      <c r="E29" s="22">
        <f>'Market Data'!C13/'Financial Data'!G27</f>
        <v>20.013589128697042</v>
      </c>
      <c r="F29" s="22">
        <f>IF('Financial Data'!I27=0,"N/M",(E29)/('Financial Data'!I27*100))</f>
        <v>2.5016986410871302</v>
      </c>
    </row>
    <row r="30" spans="1:10" ht="15" customHeight="1" x14ac:dyDescent="0.25">
      <c r="A30" s="12" t="s">
        <v>25</v>
      </c>
      <c r="B30" s="12" t="s">
        <v>26</v>
      </c>
      <c r="C30" s="22">
        <f>'Market Data'!J14/'Financial Data'!C28</f>
        <v>7.1621056250000006</v>
      </c>
      <c r="D30" s="22">
        <f>'Market Data'!J14/('Financial Data'!C28*'Financial Data'!G12)</f>
        <v>37.118828449941454</v>
      </c>
      <c r="E30" s="22">
        <f>'Market Data'!C14/'Financial Data'!G28</f>
        <v>27.03341288782816</v>
      </c>
      <c r="F30" s="22">
        <f>IF('Financial Data'!I28=0,"N/M",(E30)/('Financial Data'!I28*100))</f>
        <v>1.2287914949012799</v>
      </c>
    </row>
    <row r="31" spans="1:10" ht="15" customHeight="1" x14ac:dyDescent="0.25">
      <c r="A31" s="12" t="s">
        <v>27</v>
      </c>
      <c r="B31" s="12" t="s">
        <v>28</v>
      </c>
      <c r="C31" s="22">
        <f>'Market Data'!J15/'Financial Data'!C29</f>
        <v>4.005489615384616</v>
      </c>
      <c r="D31" s="22">
        <f>'Market Data'!J15/('Financial Data'!C29*'Financial Data'!G13)</f>
        <v>9.9964807505330668</v>
      </c>
      <c r="E31" s="22">
        <f>'Market Data'!C15/'Financial Data'!G29</f>
        <v>10.512393162393163</v>
      </c>
      <c r="F31" s="22">
        <f>IF('Financial Data'!I29=0,"N/M",(E31)/('Financial Data'!I29*100))</f>
        <v>0.9556721056721057</v>
      </c>
    </row>
    <row r="33" spans="1:6" ht="15" customHeight="1" x14ac:dyDescent="0.25">
      <c r="A33" s="14" t="s">
        <v>29</v>
      </c>
      <c r="C33" s="23">
        <f>AVERAGE(C26:C31)</f>
        <v>5.4866002490932209</v>
      </c>
      <c r="D33" s="23">
        <f>AVERAGE(D26:D31)</f>
        <v>18.028677898854244</v>
      </c>
      <c r="E33" s="23">
        <f>AVERAGE(E26:E31)</f>
        <v>19.722577584219515</v>
      </c>
      <c r="F33" s="23">
        <f>AVERAGE(F26:F31)</f>
        <v>1.5060244183313103</v>
      </c>
    </row>
    <row r="34" spans="1:6" ht="15" customHeight="1" x14ac:dyDescent="0.25">
      <c r="A34" s="14" t="s">
        <v>30</v>
      </c>
      <c r="C34" s="23">
        <f>MEDIAN(C26:C31)</f>
        <v>4.6273412238688785</v>
      </c>
      <c r="D34" s="23">
        <f>MEDIAN(D26:D31)</f>
        <v>15.850057258385622</v>
      </c>
      <c r="E34" s="23">
        <f>MEDIAN(E26:E31)</f>
        <v>21.374111349218495</v>
      </c>
      <c r="F34" s="23">
        <f>MEDIAN(F26:F31)</f>
        <v>1.3005831507121361</v>
      </c>
    </row>
    <row r="35" spans="1:6" ht="15" customHeight="1" x14ac:dyDescent="0.25">
      <c r="A35" s="14" t="s">
        <v>31</v>
      </c>
      <c r="C35" s="23">
        <f>MAX(C26:C31)</f>
        <v>8.4567231022115976</v>
      </c>
      <c r="D35" s="23">
        <f>MAX(D26:D31)</f>
        <v>37.118828449941454</v>
      </c>
      <c r="E35" s="23">
        <f>MAX(E26:E31)</f>
        <v>27.03341288782816</v>
      </c>
      <c r="F35" s="23">
        <f>MAX(F26:F31)</f>
        <v>2.5016986410871302</v>
      </c>
    </row>
    <row r="36" spans="1:6" ht="15" customHeight="1" x14ac:dyDescent="0.25">
      <c r="A36" s="14" t="s">
        <v>32</v>
      </c>
      <c r="C36" s="23">
        <f>MIN(C26:C31)</f>
        <v>4.005489615384616</v>
      </c>
      <c r="D36" s="23">
        <f>MIN(D26:D31)</f>
        <v>9.9964807505330668</v>
      </c>
      <c r="E36" s="23">
        <f>MIN(E26:E31)</f>
        <v>10.512393162393163</v>
      </c>
      <c r="F36" s="23">
        <f>MIN(F26:F31)</f>
        <v>0.9556721056721057</v>
      </c>
    </row>
    <row r="37" spans="1:6" ht="15" customHeight="1" x14ac:dyDescent="0.25">
      <c r="A37" s="24" t="s">
        <v>76</v>
      </c>
      <c r="C37" s="25">
        <f>(C24/C34)-1</f>
        <v>0.68299562214921927</v>
      </c>
      <c r="D37" s="25">
        <f>(D24/D34)-1</f>
        <v>0.18239668183689939</v>
      </c>
      <c r="E37" s="25">
        <f>(E24/E34)-1</f>
        <v>-3.2434578170851269E-2</v>
      </c>
      <c r="F37" s="25">
        <f>(F24/F34)-1</f>
        <v>-0.36395143816814912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51"/>
  <sheetViews>
    <sheetView zoomScaleNormal="100" workbookViewId="0"/>
  </sheetViews>
  <sheetFormatPr defaultColWidth="8.7109375" defaultRowHeight="15" x14ac:dyDescent="0.25"/>
  <cols>
    <col min="1" max="1" width="42" customWidth="1"/>
    <col min="2" max="5" width="18" customWidth="1"/>
    <col min="6" max="6" width="30" customWidth="1"/>
  </cols>
  <sheetData>
    <row r="1" spans="1:6" ht="17.25" customHeight="1" x14ac:dyDescent="0.25">
      <c r="A1" s="1" t="s">
        <v>0</v>
      </c>
    </row>
    <row r="2" spans="1:6" ht="15" customHeight="1" x14ac:dyDescent="0.25">
      <c r="A2" s="2" t="s">
        <v>82</v>
      </c>
    </row>
    <row r="4" spans="1:6" ht="15" customHeight="1" x14ac:dyDescent="0.25">
      <c r="A4" s="5" t="s">
        <v>83</v>
      </c>
    </row>
    <row r="5" spans="1:6" ht="15" customHeight="1" x14ac:dyDescent="0.25">
      <c r="A5" s="6" t="s">
        <v>84</v>
      </c>
      <c r="B5" s="6" t="s">
        <v>85</v>
      </c>
      <c r="C5" s="6" t="s">
        <v>86</v>
      </c>
      <c r="D5" s="6" t="s">
        <v>87</v>
      </c>
      <c r="E5" s="6" t="s">
        <v>88</v>
      </c>
      <c r="F5" s="6" t="s">
        <v>89</v>
      </c>
    </row>
    <row r="6" spans="1:6" ht="15" customHeight="1" x14ac:dyDescent="0.25">
      <c r="A6" s="12" t="s">
        <v>90</v>
      </c>
      <c r="B6" s="13">
        <f>QUARTILE('Valuation Multiples'!C8:C13,1)*'Financial Data'!C6</f>
        <v>254720.17791741955</v>
      </c>
      <c r="C6" s="13">
        <f>MEDIAN('Valuation Multiples'!C8:C13)*'Financial Data'!C6</f>
        <v>293736.77211196814</v>
      </c>
      <c r="D6" s="13">
        <f>QUARTILE('Valuation Multiples'!C8:C13,3)*'Financial Data'!C6</f>
        <v>452296.20523874025</v>
      </c>
      <c r="E6" s="13">
        <f>AVERAGE('Valuation Multiples'!C8:C13)*'Financial Data'!C6</f>
        <v>359112.60019241687</v>
      </c>
    </row>
    <row r="7" spans="1:6" ht="15" customHeight="1" x14ac:dyDescent="0.25">
      <c r="A7" s="12" t="s">
        <v>91</v>
      </c>
      <c r="B7" s="13">
        <f>QUARTILE('Valuation Multiples'!E8:E13,1)*'Financial Data'!F6</f>
        <v>345394.22976049897</v>
      </c>
      <c r="C7" s="13">
        <f>MEDIAN('Valuation Multiples'!E8:E13)*'Financial Data'!F6</f>
        <v>421272.05785253656</v>
      </c>
      <c r="D7" s="13">
        <f>QUARTILE('Valuation Multiples'!E8:E13,3)*'Financial Data'!F6</f>
        <v>445966.38897177431</v>
      </c>
      <c r="E7" s="13">
        <f>AVERAGE('Valuation Multiples'!E8:E13)*'Financial Data'!F6</f>
        <v>490752.84462104487</v>
      </c>
    </row>
    <row r="8" spans="1:6" ht="15" customHeight="1" x14ac:dyDescent="0.25">
      <c r="A8" s="12" t="s">
        <v>92</v>
      </c>
      <c r="B8" s="13">
        <f>QUARTILE('Valuation Multiples'!F8:F13,1)*'Financial Data'!H6</f>
        <v>382839.66749135399</v>
      </c>
      <c r="C8" s="13">
        <f>MEDIAN('Valuation Multiples'!F8:F13)*'Financial Data'!H6</f>
        <v>397544.19152397104</v>
      </c>
      <c r="D8" s="13">
        <f>QUARTILE('Valuation Multiples'!F8:F13,3)*'Financial Data'!H6</f>
        <v>423216.17655075749</v>
      </c>
      <c r="E8" s="13">
        <f>AVERAGE('Valuation Multiples'!F8:F13)*'Financial Data'!H6</f>
        <v>487816.07046708756</v>
      </c>
    </row>
    <row r="9" spans="1:6" ht="15" customHeight="1" x14ac:dyDescent="0.25">
      <c r="A9" s="12" t="s">
        <v>93</v>
      </c>
      <c r="B9" s="13">
        <f>QUARTILE('Valuation Multiples'!C26:C31,1)*'Financial Data'!C22</f>
        <v>277983.72353046539</v>
      </c>
      <c r="C9" s="13">
        <f>MEDIAN('Valuation Multiples'!C26:C31)*'Financial Data'!C22</f>
        <v>316047.40559024439</v>
      </c>
      <c r="D9" s="13">
        <f>QUARTILE('Valuation Multiples'!C26:C31,3)*'Financial Data'!C22</f>
        <v>453898.61097922549</v>
      </c>
      <c r="E9" s="13">
        <f>AVERAGE('Valuation Multiples'!C26:C31)*'Financial Data'!C22</f>
        <v>374734.797013067</v>
      </c>
    </row>
    <row r="10" spans="1:6" ht="15" customHeight="1" x14ac:dyDescent="0.25">
      <c r="A10" s="12" t="s">
        <v>94</v>
      </c>
      <c r="B10" s="13">
        <f>QUARTILE('Valuation Multiples'!D26:D31,1)*('Financial Data'!C22*'Financial Data'!G6)</f>
        <v>363511.08472370595</v>
      </c>
      <c r="C10" s="13">
        <f>MEDIAN('Valuation Multiples'!D26:D31)*('Financial Data'!C22*'Financial Data'!G6)</f>
        <v>449854.44239716802</v>
      </c>
      <c r="D10" s="13">
        <f>QUARTILE('Valuation Multiples'!D26:D31,3)*('Financial Data'!C22*'Financial Data'!G6)</f>
        <v>486313.71678858646</v>
      </c>
      <c r="E10" s="13">
        <f>AVERAGE('Valuation Multiples'!D26:D31)*('Financial Data'!C22*'Financial Data'!G6)</f>
        <v>511687.79463281762</v>
      </c>
    </row>
    <row r="13" spans="1:6" ht="15" customHeight="1" x14ac:dyDescent="0.25">
      <c r="A13" s="5" t="s">
        <v>95</v>
      </c>
    </row>
    <row r="14" spans="1:6" ht="15" customHeight="1" x14ac:dyDescent="0.25">
      <c r="A14" s="24" t="s">
        <v>96</v>
      </c>
      <c r="B14" s="9"/>
    </row>
    <row r="15" spans="1:6" ht="15" customHeight="1" x14ac:dyDescent="0.25">
      <c r="A15" s="24" t="s">
        <v>97</v>
      </c>
      <c r="B15" s="9"/>
    </row>
    <row r="16" spans="1:6" ht="15" customHeight="1" x14ac:dyDescent="0.25">
      <c r="A16" s="24" t="s">
        <v>98</v>
      </c>
      <c r="B16" s="9"/>
    </row>
    <row r="18" spans="1:2" ht="15" customHeight="1" x14ac:dyDescent="0.25">
      <c r="A18" s="12" t="s">
        <v>99</v>
      </c>
      <c r="B18" s="27">
        <f>'Market Data'!F8</f>
        <v>95502</v>
      </c>
    </row>
    <row r="19" spans="1:2" ht="15" customHeight="1" x14ac:dyDescent="0.25">
      <c r="A19" s="12" t="s">
        <v>100</v>
      </c>
      <c r="B19" s="27">
        <f>'Market Data'!H8</f>
        <v>518</v>
      </c>
    </row>
    <row r="20" spans="1:2" ht="15" customHeight="1" x14ac:dyDescent="0.25">
      <c r="A20" s="12" t="s">
        <v>101</v>
      </c>
      <c r="B20" s="27">
        <f>'Market Data'!G8</f>
        <v>10456</v>
      </c>
    </row>
    <row r="22" spans="1:2" ht="15" customHeight="1" x14ac:dyDescent="0.25">
      <c r="A22" s="24" t="s">
        <v>102</v>
      </c>
      <c r="B22" s="28">
        <f>B14-B18-B19+B20</f>
        <v>-85564</v>
      </c>
    </row>
    <row r="23" spans="1:2" ht="15" customHeight="1" x14ac:dyDescent="0.25">
      <c r="A23" s="24" t="s">
        <v>103</v>
      </c>
      <c r="B23" s="28">
        <f>B15-B18-B19+B20</f>
        <v>-85564</v>
      </c>
    </row>
    <row r="24" spans="1:2" ht="15" customHeight="1" x14ac:dyDescent="0.25">
      <c r="A24" s="24" t="s">
        <v>104</v>
      </c>
      <c r="B24" s="28">
        <f>B16-B18-B19+B20</f>
        <v>-85564</v>
      </c>
    </row>
    <row r="26" spans="1:2" ht="15" customHeight="1" x14ac:dyDescent="0.25">
      <c r="A26" s="12" t="s">
        <v>105</v>
      </c>
      <c r="B26" s="27">
        <f>'Market Data'!D8</f>
        <v>2870</v>
      </c>
    </row>
    <row r="28" spans="1:2" ht="15" customHeight="1" x14ac:dyDescent="0.25">
      <c r="A28" s="24" t="s">
        <v>106</v>
      </c>
      <c r="B28" s="29">
        <f>IF(B22="","",B22/B26)</f>
        <v>-29.813240418118468</v>
      </c>
    </row>
    <row r="29" spans="1:2" ht="15" customHeight="1" x14ac:dyDescent="0.25">
      <c r="A29" s="24" t="s">
        <v>107</v>
      </c>
      <c r="B29" s="29">
        <f>IF(B23="","",B23/B26)</f>
        <v>-29.813240418118468</v>
      </c>
    </row>
    <row r="30" spans="1:2" ht="15" customHeight="1" x14ac:dyDescent="0.25">
      <c r="A30" s="24" t="s">
        <v>108</v>
      </c>
      <c r="B30" s="29">
        <f>IF(B24="","",B24/B26)</f>
        <v>-29.813240418118468</v>
      </c>
    </row>
    <row r="32" spans="1:2" ht="15" customHeight="1" x14ac:dyDescent="0.25">
      <c r="A32" s="12" t="s">
        <v>109</v>
      </c>
      <c r="B32" s="30">
        <f>'Market Data'!C8</f>
        <v>155.52000000000001</v>
      </c>
    </row>
    <row r="33" spans="1:6" ht="15" customHeight="1" x14ac:dyDescent="0.25">
      <c r="A33" s="24" t="s">
        <v>110</v>
      </c>
      <c r="B33" s="31">
        <f>IF(B28="","",B28/B32-1)</f>
        <v>-1.1917003627708236</v>
      </c>
    </row>
    <row r="34" spans="1:6" ht="15" customHeight="1" x14ac:dyDescent="0.25">
      <c r="A34" s="24" t="s">
        <v>111</v>
      </c>
      <c r="B34" s="25">
        <f>IF(B29="","",B29/B32-1)</f>
        <v>-1.1917003627708236</v>
      </c>
    </row>
    <row r="35" spans="1:6" ht="15" customHeight="1" x14ac:dyDescent="0.25">
      <c r="A35" s="24" t="s">
        <v>112</v>
      </c>
      <c r="B35" s="31">
        <f>IF(B30="","",B30/B32-1)</f>
        <v>-1.1917003627708236</v>
      </c>
    </row>
    <row r="38" spans="1:6" ht="15" customHeight="1" x14ac:dyDescent="0.25">
      <c r="A38" s="5" t="s">
        <v>113</v>
      </c>
    </row>
    <row r="39" spans="1:6" ht="15" customHeight="1" x14ac:dyDescent="0.25">
      <c r="A39" s="6" t="s">
        <v>114</v>
      </c>
      <c r="B39" s="6" t="s">
        <v>115</v>
      </c>
      <c r="C39" s="6" t="s">
        <v>116</v>
      </c>
      <c r="D39" s="6"/>
      <c r="E39" s="6"/>
      <c r="F39" s="6"/>
    </row>
    <row r="40" spans="1:6" ht="32.25" customHeight="1" x14ac:dyDescent="0.25">
      <c r="A40" s="12" t="s">
        <v>17</v>
      </c>
      <c r="B40" s="12" t="s">
        <v>117</v>
      </c>
      <c r="C40" s="32" t="s">
        <v>118</v>
      </c>
    </row>
    <row r="41" spans="1:6" ht="32.25" customHeight="1" x14ac:dyDescent="0.25">
      <c r="A41" s="12" t="s">
        <v>19</v>
      </c>
      <c r="B41" s="12" t="s">
        <v>119</v>
      </c>
      <c r="C41" s="32" t="s">
        <v>120</v>
      </c>
    </row>
    <row r="42" spans="1:6" ht="21.75" customHeight="1" x14ac:dyDescent="0.25">
      <c r="A42" s="12" t="s">
        <v>21</v>
      </c>
      <c r="B42" s="12" t="s">
        <v>121</v>
      </c>
      <c r="C42" s="32" t="s">
        <v>122</v>
      </c>
    </row>
    <row r="43" spans="1:6" ht="32.25" customHeight="1" x14ac:dyDescent="0.25">
      <c r="A43" s="12" t="s">
        <v>23</v>
      </c>
      <c r="B43" s="12" t="s">
        <v>123</v>
      </c>
      <c r="C43" s="32" t="s">
        <v>124</v>
      </c>
    </row>
    <row r="44" spans="1:6" ht="21.75" customHeight="1" x14ac:dyDescent="0.25">
      <c r="A44" s="12" t="s">
        <v>25</v>
      </c>
      <c r="B44" s="12" t="s">
        <v>125</v>
      </c>
      <c r="C44" s="32" t="s">
        <v>126</v>
      </c>
    </row>
    <row r="45" spans="1:6" ht="32.25" customHeight="1" x14ac:dyDescent="0.25">
      <c r="A45" s="12" t="s">
        <v>27</v>
      </c>
      <c r="B45" s="12" t="s">
        <v>127</v>
      </c>
      <c r="C45" s="32" t="s">
        <v>128</v>
      </c>
    </row>
    <row r="48" spans="1:6" ht="15" customHeight="1" x14ac:dyDescent="0.25">
      <c r="A48" s="5" t="s">
        <v>129</v>
      </c>
    </row>
    <row r="49" spans="1:8" ht="15" customHeight="1" x14ac:dyDescent="0.25">
      <c r="A49" s="6"/>
      <c r="B49" s="6" t="s">
        <v>16</v>
      </c>
      <c r="C49" s="6" t="s">
        <v>18</v>
      </c>
      <c r="D49" s="6" t="s">
        <v>20</v>
      </c>
      <c r="E49" s="6" t="s">
        <v>22</v>
      </c>
      <c r="F49" s="6" t="s">
        <v>24</v>
      </c>
      <c r="G49" s="6" t="s">
        <v>26</v>
      </c>
      <c r="H49" s="6" t="s">
        <v>28</v>
      </c>
    </row>
    <row r="50" spans="1:8" ht="15" customHeight="1" x14ac:dyDescent="0.25">
      <c r="A50" s="12" t="s">
        <v>130</v>
      </c>
      <c r="B50" s="33">
        <v>1.65</v>
      </c>
      <c r="C50" s="33">
        <v>1.08</v>
      </c>
      <c r="D50" s="33">
        <v>0.84</v>
      </c>
      <c r="E50" s="33">
        <v>1.31</v>
      </c>
      <c r="F50" s="33">
        <v>0.69</v>
      </c>
      <c r="G50" s="33">
        <v>1.02</v>
      </c>
      <c r="H50" s="33">
        <v>1.52</v>
      </c>
    </row>
    <row r="51" spans="1:8" ht="15" customHeight="1" x14ac:dyDescent="0.25">
      <c r="A51" s="12" t="s">
        <v>131</v>
      </c>
      <c r="B51" s="12" t="s">
        <v>132</v>
      </c>
      <c r="C51" s="12" t="s">
        <v>133</v>
      </c>
      <c r="D51" s="12" t="s">
        <v>134</v>
      </c>
      <c r="E51" s="12" t="s">
        <v>135</v>
      </c>
      <c r="F51" s="12" t="s">
        <v>134</v>
      </c>
      <c r="G51" s="12" t="s">
        <v>134</v>
      </c>
      <c r="H51" s="12" t="s">
        <v>136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 Data</vt:lpstr>
      <vt:lpstr>Financial Data</vt:lpstr>
      <vt:lpstr>Valuation Multiples</vt:lpstr>
      <vt:lpstr>Implied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Zachary Lenz</cp:lastModifiedBy>
  <cp:revision>0</cp:revision>
  <dcterms:created xsi:type="dcterms:W3CDTF">2026-03-20T17:52:40Z</dcterms:created>
  <dcterms:modified xsi:type="dcterms:W3CDTF">2026-04-25T23:22:06Z</dcterms:modified>
  <dc:language>en-US</dc:language>
</cp:coreProperties>
</file>