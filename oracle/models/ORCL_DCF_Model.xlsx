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OneDrive_zacharylenz08\OneDrive\Desktop\Investment Club\SMIFC '26\project_2\.Project Submission Files\Analysis Topics\valuation and reccomendation\"/>
    </mc:Choice>
  </mc:AlternateContent>
  <xr:revisionPtr revIDLastSave="0" documentId="13_ncr:1_{BCDDF071-3C22-462C-9A2C-A8BBD445B059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Assumptions" sheetId="1" r:id="rId1"/>
    <sheet name="Unlevered Free Cash Flow" sheetId="2" r:id="rId2"/>
    <sheet name="DCF Valuation" sheetId="3" r:id="rId3"/>
    <sheet name="Valuation 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8" i="4" l="1"/>
  <c r="D38" i="4"/>
  <c r="B43" i="4" s="1"/>
  <c r="B38" i="4"/>
  <c r="B41" i="4" s="1"/>
  <c r="D37" i="4"/>
  <c r="C37" i="4"/>
  <c r="B37" i="4"/>
  <c r="D36" i="4"/>
  <c r="B36" i="4"/>
  <c r="D35" i="4"/>
  <c r="C35" i="4"/>
  <c r="B35" i="4"/>
  <c r="D34" i="4"/>
  <c r="C34" i="4"/>
  <c r="B34" i="4"/>
  <c r="C27" i="4"/>
  <c r="C36" i="4" s="1"/>
  <c r="C38" i="4" s="1"/>
  <c r="D24" i="4"/>
  <c r="C24" i="4"/>
  <c r="B24" i="4"/>
  <c r="C35" i="3"/>
  <c r="B35" i="3"/>
  <c r="B25" i="3"/>
  <c r="B18" i="3"/>
  <c r="I28" i="2"/>
  <c r="H28" i="2"/>
  <c r="G28" i="2"/>
  <c r="F28" i="2"/>
  <c r="E28" i="2"/>
  <c r="D28" i="2"/>
  <c r="C28" i="2"/>
  <c r="B28" i="2"/>
  <c r="I19" i="2"/>
  <c r="H19" i="2"/>
  <c r="G19" i="2"/>
  <c r="F19" i="2"/>
  <c r="E19" i="2"/>
  <c r="D19" i="2"/>
  <c r="C19" i="2"/>
  <c r="B19" i="2"/>
  <c r="I18" i="2"/>
  <c r="H18" i="2"/>
  <c r="G18" i="2"/>
  <c r="F18" i="2"/>
  <c r="E18" i="2"/>
  <c r="D18" i="2"/>
  <c r="C18" i="2"/>
  <c r="B18" i="2"/>
  <c r="I17" i="2"/>
  <c r="H17" i="2"/>
  <c r="G17" i="2"/>
  <c r="F17" i="2"/>
  <c r="E17" i="2"/>
  <c r="D17" i="2"/>
  <c r="C17" i="2"/>
  <c r="B17" i="2"/>
  <c r="I13" i="2"/>
  <c r="H13" i="2"/>
  <c r="G13" i="2"/>
  <c r="F13" i="2"/>
  <c r="E13" i="2"/>
  <c r="D13" i="2"/>
  <c r="C13" i="2"/>
  <c r="B13" i="2"/>
  <c r="I8" i="2"/>
  <c r="I7" i="2"/>
  <c r="H7" i="2"/>
  <c r="G7" i="2"/>
  <c r="F7" i="2"/>
  <c r="E7" i="2"/>
  <c r="D7" i="2"/>
  <c r="C7" i="2"/>
  <c r="B7" i="2"/>
  <c r="B40" i="1"/>
  <c r="B39" i="1"/>
  <c r="B35" i="1"/>
  <c r="B31" i="1"/>
  <c r="B42" i="1" s="1"/>
  <c r="B30" i="1"/>
  <c r="I23" i="1"/>
  <c r="H23" i="1"/>
  <c r="G23" i="1"/>
  <c r="F23" i="1"/>
  <c r="E23" i="1"/>
  <c r="D23" i="1"/>
  <c r="C23" i="1"/>
  <c r="I21" i="1"/>
  <c r="I26" i="2" s="1"/>
  <c r="H21" i="1"/>
  <c r="H26" i="2" s="1"/>
  <c r="G21" i="1"/>
  <c r="G26" i="2" s="1"/>
  <c r="F21" i="1"/>
  <c r="F26" i="2" s="1"/>
  <c r="E21" i="1"/>
  <c r="E26" i="2" s="1"/>
  <c r="D21" i="1"/>
  <c r="D26" i="2" s="1"/>
  <c r="C21" i="1"/>
  <c r="C26" i="2" s="1"/>
  <c r="B21" i="1"/>
  <c r="B26" i="2" s="1"/>
  <c r="I15" i="1"/>
  <c r="I27" i="2" s="1"/>
  <c r="H15" i="1"/>
  <c r="H27" i="2" s="1"/>
  <c r="G15" i="1"/>
  <c r="G27" i="2" s="1"/>
  <c r="F15" i="1"/>
  <c r="F27" i="2" s="1"/>
  <c r="E15" i="1"/>
  <c r="E27" i="2" s="1"/>
  <c r="D15" i="1"/>
  <c r="D27" i="2" s="1"/>
  <c r="C15" i="1"/>
  <c r="C27" i="2" s="1"/>
  <c r="B15" i="1"/>
  <c r="B27" i="2" s="1"/>
  <c r="I12" i="1"/>
  <c r="H12" i="1"/>
  <c r="H16" i="1" s="1"/>
  <c r="G12" i="1"/>
  <c r="G16" i="1" s="1"/>
  <c r="F12" i="1"/>
  <c r="F16" i="1" s="1"/>
  <c r="E12" i="1"/>
  <c r="E16" i="1" s="1"/>
  <c r="D12" i="1"/>
  <c r="D16" i="1" s="1"/>
  <c r="C12" i="1"/>
  <c r="C16" i="1" s="1"/>
  <c r="B12" i="1"/>
  <c r="B16" i="1" s="1"/>
  <c r="I9" i="1"/>
  <c r="H9" i="1"/>
  <c r="H8" i="2" s="1"/>
  <c r="G9" i="1"/>
  <c r="G8" i="2" s="1"/>
  <c r="F9" i="1"/>
  <c r="F8" i="2" s="1"/>
  <c r="E9" i="1"/>
  <c r="E8" i="2" s="1"/>
  <c r="D9" i="1"/>
  <c r="D8" i="2" s="1"/>
  <c r="C9" i="1"/>
  <c r="C8" i="2" s="1"/>
  <c r="B46" i="4" l="1"/>
  <c r="B42" i="4"/>
  <c r="B19" i="3"/>
  <c r="F9" i="3"/>
  <c r="C9" i="3"/>
  <c r="B9" i="3"/>
  <c r="D9" i="3"/>
  <c r="E9" i="3"/>
  <c r="B24" i="3"/>
  <c r="I16" i="1"/>
  <c r="H17" i="1"/>
  <c r="H11" i="2"/>
  <c r="G11" i="2"/>
  <c r="G17" i="1"/>
  <c r="F17" i="1"/>
  <c r="F11" i="2"/>
  <c r="E17" i="1"/>
  <c r="E11" i="2"/>
  <c r="D17" i="1"/>
  <c r="D11" i="2"/>
  <c r="C11" i="2"/>
  <c r="C17" i="1"/>
  <c r="B11" i="2"/>
  <c r="B17" i="1"/>
  <c r="B26" i="3" l="1"/>
  <c r="B27" i="3" s="1"/>
  <c r="C32" i="3" s="1"/>
  <c r="I17" i="1"/>
  <c r="I11" i="2"/>
  <c r="H12" i="2"/>
  <c r="H14" i="2" s="1"/>
  <c r="H21" i="2" s="1"/>
  <c r="G12" i="2"/>
  <c r="G14" i="2" s="1"/>
  <c r="G21" i="2" s="1"/>
  <c r="F12" i="2"/>
  <c r="F14" i="2"/>
  <c r="F21" i="2" s="1"/>
  <c r="E12" i="2"/>
  <c r="E14" i="2" s="1"/>
  <c r="E21" i="2" s="1"/>
  <c r="D12" i="2"/>
  <c r="D14" i="2"/>
  <c r="D21" i="2" s="1"/>
  <c r="C12" i="2"/>
  <c r="C14" i="2"/>
  <c r="C21" i="2" s="1"/>
  <c r="B12" i="2"/>
  <c r="B14" i="2"/>
  <c r="B21" i="2" s="1"/>
  <c r="I12" i="2" l="1"/>
  <c r="I14" i="2"/>
  <c r="I21" i="2" s="1"/>
  <c r="H24" i="2"/>
  <c r="I25" i="2"/>
  <c r="E7" i="3"/>
  <c r="E10" i="3" s="1"/>
  <c r="G24" i="2"/>
  <c r="D7" i="3"/>
  <c r="D10" i="3" s="1"/>
  <c r="H25" i="2"/>
  <c r="F24" i="2"/>
  <c r="C7" i="3"/>
  <c r="C10" i="3" s="1"/>
  <c r="G25" i="2"/>
  <c r="E24" i="2"/>
  <c r="F25" i="2"/>
  <c r="B7" i="3"/>
  <c r="B10" i="3" s="1"/>
  <c r="D24" i="2"/>
  <c r="E25" i="2"/>
  <c r="C24" i="2"/>
  <c r="D25" i="2"/>
  <c r="B24" i="2"/>
  <c r="C25" i="2"/>
  <c r="I24" i="2" l="1"/>
  <c r="F7" i="3"/>
  <c r="F10" i="3" l="1"/>
  <c r="B12" i="3" s="1"/>
  <c r="B17" i="3"/>
  <c r="B20" i="3" s="1"/>
  <c r="F74" i="3" l="1"/>
  <c r="E74" i="3"/>
  <c r="B72" i="3"/>
  <c r="E70" i="3"/>
  <c r="B31" i="3"/>
  <c r="B33" i="3" s="1"/>
  <c r="C75" i="3"/>
  <c r="C74" i="3"/>
  <c r="F73" i="3"/>
  <c r="C73" i="3"/>
  <c r="B73" i="3"/>
  <c r="D72" i="3"/>
  <c r="F71" i="3"/>
  <c r="C71" i="3"/>
  <c r="D70" i="3"/>
  <c r="C70" i="3"/>
  <c r="B70" i="3"/>
  <c r="F69" i="3"/>
  <c r="E69" i="3"/>
  <c r="D69" i="3"/>
  <c r="C69" i="3"/>
  <c r="B69" i="3"/>
  <c r="F68" i="3"/>
  <c r="E68" i="3"/>
  <c r="D68" i="3"/>
  <c r="C68" i="3"/>
  <c r="B68" i="3"/>
  <c r="F67" i="3"/>
  <c r="E67" i="3"/>
  <c r="D67" i="3"/>
  <c r="C67" i="3"/>
  <c r="B67" i="3"/>
  <c r="F62" i="3"/>
  <c r="E62" i="3"/>
  <c r="D62" i="3"/>
  <c r="C62" i="3"/>
  <c r="B62" i="3"/>
  <c r="F61" i="3"/>
  <c r="E61" i="3"/>
  <c r="D61" i="3"/>
  <c r="C61" i="3"/>
  <c r="B61" i="3"/>
  <c r="F60" i="3"/>
  <c r="E60" i="3"/>
  <c r="D60" i="3"/>
  <c r="C60" i="3"/>
  <c r="B60" i="3"/>
  <c r="F59" i="3"/>
  <c r="E59" i="3"/>
  <c r="D59" i="3"/>
  <c r="C59" i="3"/>
  <c r="B59" i="3"/>
  <c r="F58" i="3"/>
  <c r="E58" i="3"/>
  <c r="D58" i="3"/>
  <c r="C58" i="3"/>
  <c r="B58" i="3"/>
  <c r="F57" i="3"/>
  <c r="E57" i="3"/>
  <c r="D57" i="3"/>
  <c r="C57" i="3"/>
  <c r="B57" i="3"/>
  <c r="F56" i="3"/>
  <c r="E56" i="3"/>
  <c r="D56" i="3"/>
  <c r="C56" i="3"/>
  <c r="F55" i="3"/>
  <c r="E55" i="3"/>
  <c r="D55" i="3"/>
  <c r="C55" i="3"/>
  <c r="B55" i="3"/>
  <c r="F54" i="3"/>
  <c r="E54" i="3"/>
  <c r="D54" i="3"/>
  <c r="C54" i="3"/>
  <c r="B54" i="3"/>
  <c r="B56" i="3"/>
  <c r="E75" i="3"/>
  <c r="B74" i="3"/>
  <c r="E73" i="3"/>
  <c r="E72" i="3"/>
  <c r="C72" i="3"/>
  <c r="D71" i="3"/>
  <c r="F70" i="3"/>
  <c r="B75" i="3"/>
  <c r="C31" i="3"/>
  <c r="C33" i="3" s="1"/>
  <c r="D75" i="3"/>
  <c r="E71" i="3"/>
  <c r="F75" i="3"/>
  <c r="D73" i="3"/>
  <c r="B71" i="3"/>
  <c r="D74" i="3"/>
  <c r="F72" i="3"/>
  <c r="B48" i="3"/>
  <c r="B21" i="3"/>
  <c r="B32" i="3" s="1"/>
  <c r="B47" i="3" l="1"/>
  <c r="B39" i="3"/>
  <c r="B42" i="3" s="1"/>
  <c r="B45" i="3" s="1"/>
  <c r="C39" i="3"/>
  <c r="C42" i="3" s="1"/>
  <c r="C45" i="3" s="1"/>
  <c r="C4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9" authorId="0" shapeId="0" xr:uid="{00000000-0006-0000-0000-000001000000}">
      <text>
        <r>
          <rPr>
            <sz val="10"/>
            <rFont val="Arial"/>
            <family val="2"/>
          </rPr>
          <t>Adjusted from 1.65 to 1.40 — forward-looking estimate reflecting cloud maturation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7" authorId="0" shapeId="0" xr:uid="{00000000-0006-0000-0200-000001000000}">
      <text>
        <r>
          <rPr>
            <sz val="10"/>
            <rFont val="Arial"/>
            <family val="2"/>
          </rPr>
          <t>FY2030E UFCF</t>
        </r>
      </text>
    </comment>
    <comment ref="B20" authorId="0" shapeId="0" xr:uid="{00000000-0006-0000-0200-000002000000}">
      <text>
        <r>
          <rPr>
            <sz val="10"/>
            <rFont val="Arial"/>
            <family val="2"/>
          </rPr>
          <t>TV = UFCF*(1+g)/(WACC-g)</t>
        </r>
      </text>
    </comment>
    <comment ref="B21" authorId="0" shapeId="0" xr:uid="{00000000-0006-0000-0200-000003000000}">
      <text>
        <r>
          <rPr>
            <sz val="10"/>
            <rFont val="Arial"/>
            <family val="2"/>
          </rPr>
          <t>Discounted at mid-year Year 5 = 4.5</t>
        </r>
      </text>
    </comment>
    <comment ref="B24" authorId="0" shapeId="0" xr:uid="{00000000-0006-0000-0200-000004000000}">
      <text>
        <r>
          <rPr>
            <sz val="10"/>
            <rFont val="Arial"/>
            <family val="2"/>
          </rPr>
          <t>FY2030E EBITDA from Assumptions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7" authorId="0" shapeId="0" xr:uid="{00000000-0006-0000-0300-000001000000}">
      <text>
        <r>
          <rPr>
            <sz val="10"/>
            <rFont val="Arial"/>
            <family val="2"/>
          </rPr>
          <t>52-week low: April 7, 2025</t>
        </r>
      </text>
    </comment>
    <comment ref="D27" authorId="0" shapeId="0" xr:uid="{00000000-0006-0000-0300-000004000000}">
      <text>
        <r>
          <rPr>
            <sz val="10"/>
            <rFont val="Arial"/>
            <family val="2"/>
          </rPr>
          <t>52-week high: September 10, 2025</t>
        </r>
      </text>
    </comment>
    <comment ref="B28" authorId="0" shapeId="0" xr:uid="{00000000-0006-0000-0300-000002000000}">
      <text>
        <r>
          <rPr>
            <sz val="10"/>
            <rFont val="Arial"/>
            <family val="2"/>
          </rPr>
          <t>Low: Stifel/RBC Capital</t>
        </r>
      </text>
    </comment>
    <comment ref="C28" authorId="0" shapeId="0" xr:uid="{00000000-0006-0000-0300-000003000000}">
      <text>
        <r>
          <rPr>
            <sz val="10"/>
            <rFont val="Arial"/>
            <family val="2"/>
          </rPr>
          <t>Median of 54 analysts</t>
        </r>
      </text>
    </comment>
    <comment ref="D28" authorId="0" shapeId="0" xr:uid="{00000000-0006-0000-0300-000005000000}">
      <text>
        <r>
          <rPr>
            <sz val="10"/>
            <rFont val="Arial"/>
            <family val="2"/>
          </rPr>
          <t>High: Jefferies</t>
        </r>
      </text>
    </comment>
  </commentList>
</comments>
</file>

<file path=xl/sharedStrings.xml><?xml version="1.0" encoding="utf-8"?>
<sst xmlns="http://schemas.openxmlformats.org/spreadsheetml/2006/main" count="225" uniqueCount="187">
  <si>
    <t>Oracle Corporation (NYSE: ORCL)</t>
  </si>
  <si>
    <t>Two-Stage Unlevered Discounted Cash Flow Model — Key Assumptions</t>
  </si>
  <si>
    <t>Sources: SEC EDGAR 10-K/10-Q filings, LSEG, StockAnalysis.com, analyst consensus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</si>
  <si>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</si>
  <si>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</si>
  <si>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</si>
  <si>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</si>
  <si>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</si>
  <si>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</si>
  <si>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</si>
  <si>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</si>
  <si>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Source / Notes</t>
  </si>
  <si>
    <t>Revenue Assumptions</t>
  </si>
  <si>
    <t>Total Revenue ($mm)</t>
  </si>
  <si>
    <t>Source: FY23-25 Oracle 10-K; FY26-27 consensus; FY28-30 model est.</t>
  </si>
  <si>
    <t>Revenue Growth (%)</t>
  </si>
  <si>
    <t>EBITDA &amp; Operating Assumptions</t>
  </si>
  <si>
    <t>EBITDA ($mm)</t>
  </si>
  <si>
    <t>EBITDA Margin (%)</t>
  </si>
  <si>
    <t>Margin expansion driven by cloud mix shift and OCI operating leverage</t>
  </si>
  <si>
    <t>Depreciation &amp; Amortization ($mm)</t>
  </si>
  <si>
    <t>Rising D&amp;A reflects cumulative AI/OCI capex entering service (15-20yr lives)</t>
  </si>
  <si>
    <t>D&amp;A as % of Revenue</t>
  </si>
  <si>
    <t>EBIT (Operating Income) ($mm)</t>
  </si>
  <si>
    <t>EBIT Margin (%)</t>
  </si>
  <si>
    <t>Capital Expenditure &amp; Working Capital Assumptions</t>
  </si>
  <si>
    <t>Capital Expenditures ($mm)</t>
  </si>
  <si>
    <t>Source: FY23-25 SEC filings; FY26E reflects ~$48B trailing run rate; normalizes by FY30</t>
  </si>
  <si>
    <t>CapEx as % of Revenue</t>
  </si>
  <si>
    <t>Change in Net Working Capital ($mm)</t>
  </si>
  <si>
    <t>Estimated at ~1.5% of annual revenue change</t>
  </si>
  <si>
    <t>NWC Change as % of Revenue Change</t>
  </si>
  <si>
    <t>Effective Tax Rate on EBIT (%)</t>
  </si>
  <si>
    <t>Normalized to 19.0% for projections (historical Oracle avg ~15-20%)</t>
  </si>
  <si>
    <t>Weighted Average Cost of Capital Assumptions</t>
  </si>
  <si>
    <t>Risk-Free Rate (%)</t>
  </si>
  <si>
    <t>Source: U.S. 10-Year Treasury yield, March 2026</t>
  </si>
  <si>
    <t>Equity Risk Premium (%)</t>
  </si>
  <si>
    <t>Source: Damodaran January 2026 implied ERP</t>
  </si>
  <si>
    <t>Levered Beta</t>
  </si>
  <si>
    <t>Source: LSEG — 5-year monthly vs. S&amp;P 500</t>
  </si>
  <si>
    <t>Unlevered Beta</t>
  </si>
  <si>
    <t>Hamada: Bu = Bl / (1 + (1-t)*D/E)</t>
  </si>
  <si>
    <t>Cost of Equity (%)</t>
  </si>
  <si>
    <t>CAPM: Ke = Rf + Beta * ERP</t>
  </si>
  <si>
    <t>Pre-Tax Cost of Debt (%)</t>
  </si>
  <si>
    <t>Weighted avg coupon on Oracle outstanding senior notes</t>
  </si>
  <si>
    <t>Marginal Tax Rate (%)</t>
  </si>
  <si>
    <t>Consistent with projection tax rate assumption</t>
  </si>
  <si>
    <t>After-Tax Cost of Debt (%)</t>
  </si>
  <si>
    <t>Kd * (1 - Tax Rate)</t>
  </si>
  <si>
    <t>Market Value of Equity ($mm)</t>
  </si>
  <si>
    <t>Source: LSEG — Price $155.52 x 2,870mm diluted shares</t>
  </si>
  <si>
    <t>Total Debt ($mm)</t>
  </si>
  <si>
    <t>Source: Oracle FY2025 10-K balance sheet</t>
  </si>
  <si>
    <t>Equity Weight (%)</t>
  </si>
  <si>
    <t>Equity / (Equity + Debt)</t>
  </si>
  <si>
    <t>Debt Weight (%)</t>
  </si>
  <si>
    <t>Debt / (Equity + Debt)</t>
  </si>
  <si>
    <t>Weighted Average Cost of Capital (%)</t>
  </si>
  <si>
    <t>WACC = Ke*We + Kd(1-t)*Wd</t>
  </si>
  <si>
    <t>Terminal Value Assumptions</t>
  </si>
  <si>
    <t>Terminal Growth Rate (%)</t>
  </si>
  <si>
    <t>Perpetuity growth — slightly above long-run inflation for tech company</t>
  </si>
  <si>
    <t>Exit EV/EBITDA Multiple (x)</t>
  </si>
  <si>
    <t>Cross-check: peer median LTM EV/EBITDA = 17.9x (from comps model)</t>
  </si>
  <si>
    <t>Unlevered Free Cash Flow Build</t>
  </si>
  <si>
    <t>Revenue</t>
  </si>
  <si>
    <t>Net Operating Profit After Tax (NOPAT)</t>
  </si>
  <si>
    <t>Less: Taxes on EBIT ($mm)</t>
  </si>
  <si>
    <t xml:space="preserve">  Effective Tax Rate (%)</t>
  </si>
  <si>
    <t>NOPAT ($mm)</t>
  </si>
  <si>
    <t>Adjustments to Unlevered Free Cash Flow</t>
  </si>
  <si>
    <t>Plus: Depreciation &amp; Amortization ($mm)</t>
  </si>
  <si>
    <t>Less: Capital Expenditures ($mm)</t>
  </si>
  <si>
    <t>Less: Change in Net Working Capital ($mm)</t>
  </si>
  <si>
    <t>Unlevered Free Cash Flow ($mm)</t>
  </si>
  <si>
    <t>Memo: Cash Flow Conversion Metrics</t>
  </si>
  <si>
    <t>UFCF Margin (%)</t>
  </si>
  <si>
    <t>UFCF Growth (%)</t>
  </si>
  <si>
    <t>Discounted Cash Flow Valuation</t>
  </si>
  <si>
    <t>Stage 1: Present Value of Explicit Forecast Period Cash Flows</t>
  </si>
  <si>
    <t>Discount Period (mid-year convention)</t>
  </si>
  <si>
    <t>Discount Factor</t>
  </si>
  <si>
    <t>Present Value of Free Cash Flow ($mm)</t>
  </si>
  <si>
    <t>Sum of Present Values — Stage 1 ($mm)</t>
  </si>
  <si>
    <t>Stage 2: Terminal Value</t>
  </si>
  <si>
    <t>Method 1: Perpetuity Growth Method</t>
  </si>
  <si>
    <t>Terminal Year UFCF ($mm)</t>
  </si>
  <si>
    <t>WACC (%)</t>
  </si>
  <si>
    <t>Terminal Value ($mm)</t>
  </si>
  <si>
    <t>PV of Terminal Value ($mm)</t>
  </si>
  <si>
    <t>Method 2: Exit Multiple Method</t>
  </si>
  <si>
    <t>Terminal Year EBITDA ($mm)</t>
  </si>
  <si>
    <t>Enterprise Value to Equity Value Bridge</t>
  </si>
  <si>
    <t>Perpetuity Growth</t>
  </si>
  <si>
    <t>Exit Multiple</t>
  </si>
  <si>
    <t>Sum PV — Stage 1 ($mm)</t>
  </si>
  <si>
    <t>Plus: PV of Terminal Value ($mm)</t>
  </si>
  <si>
    <t>Enterprise Value ($mm)</t>
  </si>
  <si>
    <t>Less: Total Debt ($mm)</t>
  </si>
  <si>
    <t>Less: Minority Interest ($mm)</t>
  </si>
  <si>
    <t>Plus: Cash &amp; Equivalents ($mm)</t>
  </si>
  <si>
    <t>Equity Value ($mm)</t>
  </si>
  <si>
    <t>Diluted Shares Outstanding (mm)</t>
  </si>
  <si>
    <t>Implied Share Price ($)</t>
  </si>
  <si>
    <t>Current Share Price ($)</t>
  </si>
  <si>
    <t>Implied Upside / (Downside) (%)</t>
  </si>
  <si>
    <t>Terminal Value as % of Enterprise Value</t>
  </si>
  <si>
    <t>Implied Terminal EV/EBITDA (Perp. Growth)</t>
  </si>
  <si>
    <t>Sensitivity Analysis: Implied Share Price ($)</t>
  </si>
  <si>
    <t>Perpetuity Growth — WACC vs. Terminal Growth Rate</t>
  </si>
  <si>
    <t>WACC \ Growth</t>
  </si>
  <si>
    <t>1.5%</t>
  </si>
  <si>
    <t>2.0%</t>
  </si>
  <si>
    <t>2.5%</t>
  </si>
  <si>
    <t>3.0%</t>
  </si>
  <si>
    <t>3.5%</t>
  </si>
  <si>
    <t>Growth Rate Reference:</t>
  </si>
  <si>
    <t>Exit Multiple — WACC vs. Exit EV/EBITDA</t>
  </si>
  <si>
    <t>WACC \ Multiple</t>
  </si>
  <si>
    <t>14.0x</t>
  </si>
  <si>
    <t>16.0x</t>
  </si>
  <si>
    <t>18.0x</t>
  </si>
  <si>
    <t>20.0x</t>
  </si>
  <si>
    <t>22.0x</t>
  </si>
  <si>
    <t>Exit Multiple Reference:</t>
  </si>
  <si>
    <t>Valuation Summary — Football Field</t>
  </si>
  <si>
    <t>Market data as of March 19, 2026 | Current price: $155.52</t>
  </si>
  <si>
    <t>Discounted Cash Flow Scenario Analysis</t>
  </si>
  <si>
    <t>Scenario Parameter</t>
  </si>
  <si>
    <t>Bear Case</t>
  </si>
  <si>
    <t>Base Case</t>
  </si>
  <si>
    <t>Bull Case</t>
  </si>
  <si>
    <t>Implied Share Price</t>
  </si>
  <si>
    <t>DCF — Perpetuity Growth Method ($)</t>
  </si>
  <si>
    <t>DCF — Exit Multiple Method ($)</t>
  </si>
  <si>
    <t>Average of Both Methods ($)</t>
  </si>
  <si>
    <t>Comparable Companies Implied Valuation</t>
  </si>
  <si>
    <t>Methodology</t>
  </si>
  <si>
    <t>Low (25th Pctl)</t>
  </si>
  <si>
    <t>Median</t>
  </si>
  <si>
    <t>High (75th Pctl)</t>
  </si>
  <si>
    <t>Mean</t>
  </si>
  <si>
    <t>Oracle Metric</t>
  </si>
  <si>
    <t>LTM EV / Revenue</t>
  </si>
  <si>
    <t>$57.4B</t>
  </si>
  <si>
    <t>LTM EV / EBITDA</t>
  </si>
  <si>
    <t>$23.9B</t>
  </si>
  <si>
    <t>NTM EV / Revenue</t>
  </si>
  <si>
    <t>$68.3B</t>
  </si>
  <si>
    <t>NTM EV / EBITDA (est.)</t>
  </si>
  <si>
    <t>$28.4B</t>
  </si>
  <si>
    <t>Comps Implied Range (LTM EV/EBITDA)</t>
  </si>
  <si>
    <t>Market Reference Points</t>
  </si>
  <si>
    <t>52-Week Trading Range</t>
  </si>
  <si>
    <t>Analyst Consensus Target Price (12-month)</t>
  </si>
  <si>
    <t>Consolidated Football Field</t>
  </si>
  <si>
    <t>Low ($)</t>
  </si>
  <si>
    <t>Base ($)</t>
  </si>
  <si>
    <t>High ($)</t>
  </si>
  <si>
    <t>Weight</t>
  </si>
  <si>
    <t>Notes</t>
  </si>
  <si>
    <t>DCF — Perpetuity Growth</t>
  </si>
  <si>
    <t>Bear/Base/Bull — forward beta assumption</t>
  </si>
  <si>
    <t>DCF — Exit Multiple</t>
  </si>
  <si>
    <t>Bear/Base/Bull — primary DCF method</t>
  </si>
  <si>
    <t>Comps — LTM EV/EBITDA</t>
  </si>
  <si>
    <t>Peer 25th/Median/75th percentile</t>
  </si>
  <si>
    <t>Comps — NTM EV/EBITDA</t>
  </si>
  <si>
    <t>Forward estimate; less reliable</t>
  </si>
  <si>
    <t>$118.86 low to $345.72 high</t>
  </si>
  <si>
    <t>Analyst Consensus</t>
  </si>
  <si>
    <t>54 analysts; Buy consensus; median $228.50</t>
  </si>
  <si>
    <t>Weighted Average Implied Share Price</t>
  </si>
  <si>
    <t>Implied Upside / (Downside) — Low (%)</t>
  </si>
  <si>
    <t>Implied Upside / (Downside) — Base (%)</t>
  </si>
  <si>
    <t>Implied Upside / (Downside) — High (%)</t>
  </si>
  <si>
    <t>Recommendation</t>
  </si>
  <si>
    <t>Target Price (12-Month, Base Case)</t>
  </si>
  <si>
    <t>Rating</t>
  </si>
  <si>
    <t>BUY</t>
  </si>
  <si>
    <t>Valuation Methodology Rationale</t>
  </si>
  <si>
    <t>The exit multiple DCF receives 35% weight as the primary intrinsic valuation method because the perpetuity</t>
  </si>
  <si>
    <t>growth method (15% weight) structurally undervalues companies in heavy capex investment cycles where</t>
  </si>
  <si>
    <t>near-term free cash flow is negative. The base case beta of 1.40 reflects Oracle's forward-looking risk</t>
  </si>
  <si>
    <t>profile as cloud infrastructure revenue scales and the capital expenditure cycle normalizes by FY2029-2030.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</si>
</sst>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%"/>
    <numFmt numFmtId="165" formatCode="0.000"/>
    <numFmt numFmtId="166" formatCode="0.0\x"/>
    <numFmt numFmtId="167" formatCode="#,##0;\(#,##0\);\-"/>
    <numFmt numFmtId="168" formatCode="0.0"/>
    <numFmt numFmtId="169" formatCode="0.0000"/>
    <numFmt numFmtId="170" formatCode="\$#,##0.00"/>
  </numFmts>
  <fonts count="1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000000"/>
      <name val="Arial"/>
      <family val="2"/>
    </font>
    <font>
      <i/>
      <sz val="10"/>
      <color rgb="FF808080"/>
      <name val="Arial"/>
      <family val="2"/>
    </font>
    <font>
      <i/>
      <sz val="9"/>
      <color rgb="FFFF0000"/>
      <name val="Arial"/>
      <family val="2"/>
    </font>
    <font>
      <b/>
      <sz val="10"/>
      <color rgb="FFFFFFFF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sz val="10"/>
      <color rgb="FF008000"/>
      <name val="Arial"/>
      <family val="2"/>
    </font>
    <font>
      <b/>
      <sz val="12"/>
      <color rgb="FF1F4E79"/>
      <name val="Arial"/>
      <family val="2"/>
    </font>
    <font>
      <b/>
      <sz val="14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CE4EC"/>
        <bgColor rgb="FFF2F2F2"/>
      </patternFill>
    </fill>
    <fill>
      <patternFill patternType="solid">
        <fgColor rgb="FFE2EFDA"/>
        <bgColor rgb="FFF2F2F2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3" fontId="8" fillId="0" borderId="0" xfId="0" applyNumberFormat="1" applyFont="1"/>
    <xf numFmtId="3" fontId="9" fillId="3" borderId="0" xfId="0" applyNumberFormat="1" applyFont="1" applyFill="1"/>
    <xf numFmtId="0" fontId="10" fillId="0" borderId="0" xfId="0" applyFont="1"/>
    <xf numFmtId="0" fontId="8" fillId="0" borderId="0" xfId="0" applyFont="1"/>
    <xf numFmtId="164" fontId="8" fillId="0" borderId="0" xfId="0" applyNumberFormat="1" applyFont="1"/>
    <xf numFmtId="164" fontId="9" fillId="3" borderId="0" xfId="0" applyNumberFormat="1" applyFont="1" applyFill="1"/>
    <xf numFmtId="3" fontId="7" fillId="0" borderId="0" xfId="0" applyNumberFormat="1" applyFont="1"/>
    <xf numFmtId="2" fontId="9" fillId="3" borderId="0" xfId="0" applyNumberFormat="1" applyFont="1" applyFill="1"/>
    <xf numFmtId="165" fontId="8" fillId="0" borderId="0" xfId="0" applyNumberFormat="1" applyFont="1"/>
    <xf numFmtId="164" fontId="7" fillId="0" borderId="1" xfId="0" applyNumberFormat="1" applyFont="1" applyBorder="1"/>
    <xf numFmtId="166" fontId="9" fillId="3" borderId="0" xfId="0" applyNumberFormat="1" applyFont="1" applyFill="1"/>
    <xf numFmtId="3" fontId="11" fillId="0" borderId="0" xfId="0" applyNumberFormat="1" applyFont="1"/>
    <xf numFmtId="164" fontId="11" fillId="0" borderId="0" xfId="0" applyNumberFormat="1" applyFont="1"/>
    <xf numFmtId="167" fontId="8" fillId="0" borderId="0" xfId="0" applyNumberFormat="1" applyFont="1"/>
    <xf numFmtId="3" fontId="7" fillId="0" borderId="2" xfId="0" applyNumberFormat="1" applyFont="1" applyBorder="1"/>
    <xf numFmtId="167" fontId="11" fillId="0" borderId="0" xfId="0" applyNumberFormat="1" applyFont="1"/>
    <xf numFmtId="167" fontId="7" fillId="0" borderId="1" xfId="0" applyNumberFormat="1" applyFont="1" applyBorder="1"/>
    <xf numFmtId="168" fontId="8" fillId="0" borderId="0" xfId="0" applyNumberFormat="1" applyFont="1"/>
    <xf numFmtId="169" fontId="8" fillId="0" borderId="0" xfId="0" applyNumberFormat="1" applyFont="1"/>
    <xf numFmtId="167" fontId="7" fillId="0" borderId="2" xfId="0" applyNumberFormat="1" applyFont="1" applyBorder="1"/>
    <xf numFmtId="3" fontId="7" fillId="0" borderId="1" xfId="0" applyNumberFormat="1" applyFont="1" applyBorder="1"/>
    <xf numFmtId="166" fontId="11" fillId="0" borderId="0" xfId="0" applyNumberFormat="1" applyFont="1"/>
    <xf numFmtId="170" fontId="7" fillId="0" borderId="1" xfId="0" applyNumberFormat="1" applyFont="1" applyBorder="1"/>
    <xf numFmtId="170" fontId="9" fillId="3" borderId="0" xfId="0" applyNumberFormat="1" applyFont="1" applyFill="1"/>
    <xf numFmtId="166" fontId="8" fillId="0" borderId="0" xfId="0" applyNumberFormat="1" applyFont="1"/>
    <xf numFmtId="164" fontId="7" fillId="4" borderId="0" xfId="0" applyNumberFormat="1" applyFont="1" applyFill="1"/>
    <xf numFmtId="170" fontId="8" fillId="5" borderId="0" xfId="0" applyNumberFormat="1" applyFont="1" applyFill="1"/>
    <xf numFmtId="164" fontId="10" fillId="0" borderId="0" xfId="0" applyNumberFormat="1" applyFont="1"/>
    <xf numFmtId="168" fontId="10" fillId="0" borderId="0" xfId="0" applyNumberFormat="1" applyFont="1"/>
    <xf numFmtId="170" fontId="7" fillId="6" borderId="0" xfId="0" applyNumberFormat="1" applyFont="1" applyFill="1"/>
    <xf numFmtId="170" fontId="7" fillId="7" borderId="0" xfId="0" applyNumberFormat="1" applyFont="1" applyFill="1"/>
    <xf numFmtId="170" fontId="7" fillId="6" borderId="1" xfId="0" applyNumberFormat="1" applyFont="1" applyFill="1" applyBorder="1"/>
    <xf numFmtId="170" fontId="7" fillId="7" borderId="1" xfId="0" applyNumberFormat="1" applyFont="1" applyFill="1" applyBorder="1"/>
    <xf numFmtId="170" fontId="8" fillId="0" borderId="0" xfId="0" applyNumberFormat="1" applyFont="1"/>
    <xf numFmtId="0" fontId="10" fillId="0" borderId="0" xfId="0" applyFont="1" applyAlignment="1">
      <alignment horizontal="left" vertical="center" wrapText="1"/>
    </xf>
    <xf numFmtId="170" fontId="11" fillId="0" borderId="0" xfId="0" applyNumberFormat="1" applyFont="1"/>
    <xf numFmtId="164" fontId="7" fillId="0" borderId="0" xfId="0" applyNumberFormat="1" applyFont="1"/>
    <xf numFmtId="0" fontId="12" fillId="0" borderId="0" xfId="0" applyFont="1"/>
    <xf numFmtId="170" fontId="12" fillId="0" borderId="1" xfId="0" applyNumberFormat="1" applyFont="1" applyBorder="1"/>
    <xf numFmtId="0" fontId="13" fillId="0" borderId="0" xfId="0" applyFont="1"/>
    <xf numFmtId="0" fontId="13" fillId="7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6F72B6F-35F7-49A8-B7D5-04BB4E5D6B86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J46"/>
  <sheetViews>
    <sheetView zoomScaleNormal="100" workbookViewId="0"/>
  </sheetViews>
  <sheetFormatPr defaultColWidth="8.7109375" defaultRowHeight="15" x14ac:dyDescent="0.25"/>
  <cols>
    <col min="1" max="1" width="42" customWidth="1"/>
    <col min="2" max="9" width="16" customWidth="1"/>
    <col min="10" max="10" width="32" customWidth="1"/>
  </cols>
  <sheetData>
    <row r="1" spans="1:10" ht="17.25" customHeight="1" x14ac:dyDescent="0.25">
      <c r="A1" s="1" t="s">
        <v>0</v>
      </c>
    </row>
    <row r="2" spans="1:10" ht="15" customHeight="1" x14ac:dyDescent="0.25">
      <c r="A2" s="2" t="s">
        <v>1</v>
      </c>
    </row>
    <row r="3" spans="1:10" ht="15" customHeight="1" x14ac:dyDescent="0.25">
      <c r="A3" s="3" t="s">
        <v>2</v>
      </c>
    </row>
    <row r="5" spans="1:10" ht="15" customHeight="1" x14ac:dyDescent="0.25">
      <c r="A5" s="4"/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7" spans="1:10" ht="15" customHeight="1" x14ac:dyDescent="0.25">
      <c r="A7" s="5" t="s">
        <v>12</v>
      </c>
    </row>
    <row r="8" spans="1:10" ht="15" customHeight="1" x14ac:dyDescent="0.25">
      <c r="A8" s="6" t="s">
        <v>13</v>
      </c>
      <c r="B8" s="7">
        <v>49954</v>
      </c>
      <c r="C8" s="7">
        <v>52961</v>
      </c>
      <c r="D8" s="7">
        <v>57399</v>
      </c>
      <c r="E8" s="8">
        <v>68300</v>
      </c>
      <c r="F8" s="8">
        <v>88400</v>
      </c>
      <c r="G8" s="8">
        <v>106100</v>
      </c>
      <c r="H8" s="8">
        <v>122000</v>
      </c>
      <c r="I8" s="8">
        <v>136600</v>
      </c>
      <c r="J8" s="9" t="s">
        <v>14</v>
      </c>
    </row>
    <row r="9" spans="1:10" ht="15" customHeight="1" x14ac:dyDescent="0.25">
      <c r="A9" s="10" t="s">
        <v>15</v>
      </c>
      <c r="B9" s="10"/>
      <c r="C9" s="11">
        <f t="shared" ref="C9:I9" si="0">C8/B8-1</f>
        <v>6.0195379749369504E-2</v>
      </c>
      <c r="D9" s="11">
        <f t="shared" si="0"/>
        <v>8.3797511376295875E-2</v>
      </c>
      <c r="E9" s="11">
        <f t="shared" si="0"/>
        <v>0.18991620063067294</v>
      </c>
      <c r="F9" s="11">
        <f t="shared" si="0"/>
        <v>0.29428989751098089</v>
      </c>
      <c r="G9" s="11">
        <f t="shared" si="0"/>
        <v>0.20022624434389136</v>
      </c>
      <c r="H9" s="11">
        <f t="shared" si="0"/>
        <v>0.14985862393967952</v>
      </c>
      <c r="I9" s="11">
        <f t="shared" si="0"/>
        <v>0.11967213114754105</v>
      </c>
    </row>
    <row r="11" spans="1:10" ht="15" customHeight="1" x14ac:dyDescent="0.25">
      <c r="A11" s="5" t="s">
        <v>16</v>
      </c>
    </row>
    <row r="12" spans="1:10" ht="15" customHeight="1" x14ac:dyDescent="0.25">
      <c r="A12" s="6" t="s">
        <v>17</v>
      </c>
      <c r="B12" s="7">
        <f t="shared" ref="B12:I12" si="1">B8*B13</f>
        <v>19167.3498</v>
      </c>
      <c r="C12" s="7">
        <f t="shared" si="1"/>
        <v>21459.797200000001</v>
      </c>
      <c r="D12" s="7">
        <f t="shared" si="1"/>
        <v>23849.284499999998</v>
      </c>
      <c r="E12" s="7">
        <f t="shared" si="1"/>
        <v>28686</v>
      </c>
      <c r="F12" s="7">
        <f t="shared" si="1"/>
        <v>38012</v>
      </c>
      <c r="G12" s="7">
        <f t="shared" si="1"/>
        <v>46684</v>
      </c>
      <c r="H12" s="7">
        <f t="shared" si="1"/>
        <v>54900</v>
      </c>
      <c r="I12" s="7">
        <f t="shared" si="1"/>
        <v>61470</v>
      </c>
    </row>
    <row r="13" spans="1:10" ht="15" customHeight="1" x14ac:dyDescent="0.25">
      <c r="A13" s="10" t="s">
        <v>18</v>
      </c>
      <c r="B13" s="11">
        <v>0.38369999999999999</v>
      </c>
      <c r="C13" s="11">
        <v>0.4052</v>
      </c>
      <c r="D13" s="11">
        <v>0.41549999999999998</v>
      </c>
      <c r="E13" s="12">
        <v>0.42</v>
      </c>
      <c r="F13" s="12">
        <v>0.43</v>
      </c>
      <c r="G13" s="12">
        <v>0.44</v>
      </c>
      <c r="H13" s="12">
        <v>0.45</v>
      </c>
      <c r="I13" s="12">
        <v>0.45</v>
      </c>
      <c r="J13" s="9" t="s">
        <v>19</v>
      </c>
    </row>
    <row r="14" spans="1:10" ht="15" customHeight="1" x14ac:dyDescent="0.25">
      <c r="A14" s="10" t="s">
        <v>20</v>
      </c>
      <c r="B14" s="7">
        <v>6108</v>
      </c>
      <c r="C14" s="7">
        <v>6089</v>
      </c>
      <c r="D14" s="7">
        <v>6174</v>
      </c>
      <c r="E14" s="8">
        <v>9000</v>
      </c>
      <c r="F14" s="8">
        <v>13000</v>
      </c>
      <c r="G14" s="8">
        <v>16000</v>
      </c>
      <c r="H14" s="8">
        <v>18000</v>
      </c>
      <c r="I14" s="8">
        <v>19500</v>
      </c>
      <c r="J14" s="9" t="s">
        <v>21</v>
      </c>
    </row>
    <row r="15" spans="1:10" ht="15" customHeight="1" x14ac:dyDescent="0.25">
      <c r="A15" s="10" t="s">
        <v>22</v>
      </c>
      <c r="B15" s="11">
        <f t="shared" ref="B15:I15" si="2">B14/B8</f>
        <v>0.12227249069143613</v>
      </c>
      <c r="C15" s="11">
        <f t="shared" si="2"/>
        <v>0.11497139404467438</v>
      </c>
      <c r="D15" s="11">
        <f t="shared" si="2"/>
        <v>0.10756284952699524</v>
      </c>
      <c r="E15" s="11">
        <f t="shared" si="2"/>
        <v>0.13177159590043924</v>
      </c>
      <c r="F15" s="11">
        <f t="shared" si="2"/>
        <v>0.14705882352941177</v>
      </c>
      <c r="G15" s="11">
        <f t="shared" si="2"/>
        <v>0.15080113100848255</v>
      </c>
      <c r="H15" s="11">
        <f t="shared" si="2"/>
        <v>0.14754098360655737</v>
      </c>
      <c r="I15" s="11">
        <f t="shared" si="2"/>
        <v>0.14275256222547583</v>
      </c>
    </row>
    <row r="16" spans="1:10" ht="15" customHeight="1" x14ac:dyDescent="0.25">
      <c r="A16" s="6" t="s">
        <v>23</v>
      </c>
      <c r="B16" s="13">
        <f t="shared" ref="B16:I16" si="3">B12-B14</f>
        <v>13059.3498</v>
      </c>
      <c r="C16" s="13">
        <f t="shared" si="3"/>
        <v>15370.797200000001</v>
      </c>
      <c r="D16" s="13">
        <f t="shared" si="3"/>
        <v>17675.284499999998</v>
      </c>
      <c r="E16" s="13">
        <f t="shared" si="3"/>
        <v>19686</v>
      </c>
      <c r="F16" s="13">
        <f t="shared" si="3"/>
        <v>25012</v>
      </c>
      <c r="G16" s="13">
        <f t="shared" si="3"/>
        <v>30684</v>
      </c>
      <c r="H16" s="13">
        <f t="shared" si="3"/>
        <v>36900</v>
      </c>
      <c r="I16" s="13">
        <f t="shared" si="3"/>
        <v>41970</v>
      </c>
    </row>
    <row r="17" spans="1:10" ht="15" customHeight="1" x14ac:dyDescent="0.25">
      <c r="A17" s="10" t="s">
        <v>24</v>
      </c>
      <c r="B17" s="11">
        <f t="shared" ref="B17:I17" si="4">B16/B8</f>
        <v>0.2614275093085639</v>
      </c>
      <c r="C17" s="11">
        <f t="shared" si="4"/>
        <v>0.29022860595532562</v>
      </c>
      <c r="D17" s="11">
        <f t="shared" si="4"/>
        <v>0.30793715047300474</v>
      </c>
      <c r="E17" s="11">
        <f t="shared" si="4"/>
        <v>0.28822840409956074</v>
      </c>
      <c r="F17" s="11">
        <f t="shared" si="4"/>
        <v>0.28294117647058825</v>
      </c>
      <c r="G17" s="11">
        <f t="shared" si="4"/>
        <v>0.28919886899151742</v>
      </c>
      <c r="H17" s="11">
        <f t="shared" si="4"/>
        <v>0.30245901639344264</v>
      </c>
      <c r="I17" s="11">
        <f t="shared" si="4"/>
        <v>0.30724743777452418</v>
      </c>
    </row>
    <row r="19" spans="1:10" ht="15" customHeight="1" x14ac:dyDescent="0.25">
      <c r="A19" s="5" t="s">
        <v>25</v>
      </c>
    </row>
    <row r="20" spans="1:10" ht="15" customHeight="1" x14ac:dyDescent="0.25">
      <c r="A20" s="10" t="s">
        <v>26</v>
      </c>
      <c r="B20" s="7">
        <v>8695</v>
      </c>
      <c r="C20" s="7">
        <v>6866</v>
      </c>
      <c r="D20" s="7">
        <v>21194</v>
      </c>
      <c r="E20" s="8">
        <v>42000</v>
      </c>
      <c r="F20" s="8">
        <v>38000</v>
      </c>
      <c r="G20" s="8">
        <v>30000</v>
      </c>
      <c r="H20" s="8">
        <v>25000</v>
      </c>
      <c r="I20" s="8">
        <v>22000</v>
      </c>
      <c r="J20" s="9" t="s">
        <v>27</v>
      </c>
    </row>
    <row r="21" spans="1:10" ht="15" customHeight="1" x14ac:dyDescent="0.25">
      <c r="A21" s="10" t="s">
        <v>28</v>
      </c>
      <c r="B21" s="11">
        <f t="shared" ref="B21:I21" si="5">B20/B8</f>
        <v>0.17406013532449854</v>
      </c>
      <c r="C21" s="11">
        <f t="shared" si="5"/>
        <v>0.12964256717207001</v>
      </c>
      <c r="D21" s="11">
        <f t="shared" si="5"/>
        <v>0.36923988222791337</v>
      </c>
      <c r="E21" s="11">
        <f t="shared" si="5"/>
        <v>0.6149341142020498</v>
      </c>
      <c r="F21" s="11">
        <f t="shared" si="5"/>
        <v>0.42986425339366519</v>
      </c>
      <c r="G21" s="11">
        <f t="shared" si="5"/>
        <v>0.28275212064090482</v>
      </c>
      <c r="H21" s="11">
        <f t="shared" si="5"/>
        <v>0.20491803278688525</v>
      </c>
      <c r="I21" s="11">
        <f t="shared" si="5"/>
        <v>0.16105417276720352</v>
      </c>
    </row>
    <row r="22" spans="1:10" ht="15" customHeight="1" x14ac:dyDescent="0.25">
      <c r="A22" s="10" t="s">
        <v>29</v>
      </c>
      <c r="B22" s="7">
        <v>800</v>
      </c>
      <c r="C22" s="7">
        <v>600</v>
      </c>
      <c r="D22" s="7">
        <v>700</v>
      </c>
      <c r="E22" s="8">
        <v>163</v>
      </c>
      <c r="F22" s="8">
        <v>302</v>
      </c>
      <c r="G22" s="8">
        <v>266</v>
      </c>
      <c r="H22" s="8">
        <v>239</v>
      </c>
      <c r="I22" s="8">
        <v>219</v>
      </c>
      <c r="J22" s="9" t="s">
        <v>30</v>
      </c>
    </row>
    <row r="23" spans="1:10" ht="15" customHeight="1" x14ac:dyDescent="0.25">
      <c r="A23" s="10" t="s">
        <v>31</v>
      </c>
      <c r="C23" s="11">
        <f t="shared" ref="C23:I23" si="6">IF(C8-B8=0,0,C22/(C8-B8))</f>
        <v>0.19953441968739608</v>
      </c>
      <c r="D23" s="11">
        <f t="shared" si="6"/>
        <v>0.15772870662460567</v>
      </c>
      <c r="E23" s="11">
        <f t="shared" si="6"/>
        <v>1.495275662783231E-2</v>
      </c>
      <c r="F23" s="11">
        <f t="shared" si="6"/>
        <v>1.5024875621890548E-2</v>
      </c>
      <c r="G23" s="11">
        <f t="shared" si="6"/>
        <v>1.5028248587570622E-2</v>
      </c>
      <c r="H23" s="11">
        <f t="shared" si="6"/>
        <v>1.5031446540880504E-2</v>
      </c>
      <c r="I23" s="11">
        <f t="shared" si="6"/>
        <v>1.4999999999999999E-2</v>
      </c>
    </row>
    <row r="24" spans="1:10" ht="15" customHeight="1" x14ac:dyDescent="0.25">
      <c r="A24" s="10" t="s">
        <v>32</v>
      </c>
      <c r="B24" s="11">
        <v>0.15</v>
      </c>
      <c r="C24" s="11">
        <v>0.14899999999999999</v>
      </c>
      <c r="D24" s="11">
        <v>0.13600000000000001</v>
      </c>
      <c r="E24" s="12">
        <v>0.19</v>
      </c>
      <c r="F24" s="12">
        <v>0.19</v>
      </c>
      <c r="G24" s="12">
        <v>0.19</v>
      </c>
      <c r="H24" s="12">
        <v>0.19</v>
      </c>
      <c r="I24" s="12">
        <v>0.19</v>
      </c>
      <c r="J24" s="9" t="s">
        <v>33</v>
      </c>
    </row>
    <row r="26" spans="1:10" ht="15" customHeight="1" x14ac:dyDescent="0.25">
      <c r="A26" s="5" t="s">
        <v>34</v>
      </c>
    </row>
    <row r="27" spans="1:10" ht="15" customHeight="1" x14ac:dyDescent="0.25">
      <c r="A27" s="10" t="s">
        <v>35</v>
      </c>
      <c r="B27" s="12">
        <v>4.2999999999999997E-2</v>
      </c>
      <c r="J27" s="9" t="s">
        <v>36</v>
      </c>
    </row>
    <row r="28" spans="1:10" ht="15" customHeight="1" x14ac:dyDescent="0.25">
      <c r="A28" s="10" t="s">
        <v>37</v>
      </c>
      <c r="B28" s="12">
        <v>5.5E-2</v>
      </c>
      <c r="J28" s="9" t="s">
        <v>38</v>
      </c>
    </row>
    <row r="29" spans="1:10" ht="15" customHeight="1" x14ac:dyDescent="0.25">
      <c r="A29" s="10" t="s">
        <v>39</v>
      </c>
      <c r="B29" s="14">
        <v>1.4</v>
      </c>
      <c r="J29" s="9" t="s">
        <v>40</v>
      </c>
    </row>
    <row r="30" spans="1:10" ht="15" customHeight="1" x14ac:dyDescent="0.25">
      <c r="A30" s="10" t="s">
        <v>41</v>
      </c>
      <c r="B30" s="15">
        <f>B29/(1+(1-B34)*(B38/B37))</f>
        <v>1.1932030678255368</v>
      </c>
      <c r="J30" s="9" t="s">
        <v>42</v>
      </c>
    </row>
    <row r="31" spans="1:10" ht="15" customHeight="1" x14ac:dyDescent="0.25">
      <c r="A31" s="10" t="s">
        <v>43</v>
      </c>
      <c r="B31" s="11">
        <f>B27+B29*B28</f>
        <v>0.12</v>
      </c>
      <c r="J31" s="9" t="s">
        <v>44</v>
      </c>
    </row>
    <row r="33" spans="1:10" ht="15" customHeight="1" x14ac:dyDescent="0.25">
      <c r="A33" s="10" t="s">
        <v>45</v>
      </c>
      <c r="B33" s="12">
        <v>4.4999999999999998E-2</v>
      </c>
      <c r="J33" s="9" t="s">
        <v>46</v>
      </c>
    </row>
    <row r="34" spans="1:10" ht="15" customHeight="1" x14ac:dyDescent="0.25">
      <c r="A34" s="10" t="s">
        <v>47</v>
      </c>
      <c r="B34" s="12">
        <v>0.19</v>
      </c>
      <c r="J34" s="9" t="s">
        <v>48</v>
      </c>
    </row>
    <row r="35" spans="1:10" ht="15" customHeight="1" x14ac:dyDescent="0.25">
      <c r="A35" s="10" t="s">
        <v>49</v>
      </c>
      <c r="B35" s="11">
        <f>B33*(1-B34)</f>
        <v>3.6450000000000003E-2</v>
      </c>
      <c r="J35" s="9" t="s">
        <v>50</v>
      </c>
    </row>
    <row r="37" spans="1:10" ht="15" customHeight="1" x14ac:dyDescent="0.25">
      <c r="A37" s="10" t="s">
        <v>51</v>
      </c>
      <c r="B37" s="8">
        <v>446342</v>
      </c>
      <c r="J37" s="9" t="s">
        <v>52</v>
      </c>
    </row>
    <row r="38" spans="1:10" ht="15" customHeight="1" x14ac:dyDescent="0.25">
      <c r="A38" s="10" t="s">
        <v>53</v>
      </c>
      <c r="B38" s="8">
        <v>95502</v>
      </c>
      <c r="J38" s="9" t="s">
        <v>54</v>
      </c>
    </row>
    <row r="39" spans="1:10" ht="15" customHeight="1" x14ac:dyDescent="0.25">
      <c r="A39" s="10" t="s">
        <v>55</v>
      </c>
      <c r="B39" s="11">
        <f>B37/(B37+B38)</f>
        <v>0.82374631812846499</v>
      </c>
      <c r="J39" s="9" t="s">
        <v>56</v>
      </c>
    </row>
    <row r="40" spans="1:10" ht="15" customHeight="1" x14ac:dyDescent="0.25">
      <c r="A40" s="10" t="s">
        <v>57</v>
      </c>
      <c r="B40" s="11">
        <f>B38/(B37+B38)</f>
        <v>0.17625368187153498</v>
      </c>
      <c r="J40" s="9" t="s">
        <v>58</v>
      </c>
    </row>
    <row r="42" spans="1:10" ht="15" customHeight="1" x14ac:dyDescent="0.25">
      <c r="A42" s="6" t="s">
        <v>59</v>
      </c>
      <c r="B42" s="16">
        <f>B31*B39+B35*B40</f>
        <v>0.10527400487963325</v>
      </c>
      <c r="J42" s="9" t="s">
        <v>60</v>
      </c>
    </row>
    <row r="44" spans="1:10" ht="15" customHeight="1" x14ac:dyDescent="0.25">
      <c r="A44" s="5" t="s">
        <v>61</v>
      </c>
    </row>
    <row r="45" spans="1:10" ht="15" customHeight="1" x14ac:dyDescent="0.25">
      <c r="A45" s="10" t="s">
        <v>62</v>
      </c>
      <c r="B45" s="12">
        <v>2.5000000000000001E-2</v>
      </c>
      <c r="J45" s="9" t="s">
        <v>63</v>
      </c>
    </row>
    <row r="46" spans="1:10" ht="15" customHeight="1" x14ac:dyDescent="0.25">
      <c r="A46" s="10" t="s">
        <v>64</v>
      </c>
      <c r="B46" s="17">
        <v>18</v>
      </c>
      <c r="J46" s="9" t="s">
        <v>65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I28"/>
  <sheetViews>
    <sheetView tabSelected="1" zoomScaleNormal="100" workbookViewId="0">
      <selection activeCell="B14" sqref="B14"/>
    </sheetView>
  </sheetViews>
  <sheetFormatPr defaultColWidth="8.7109375" defaultRowHeight="15" x14ac:dyDescent="0.25"/>
  <cols>
    <col min="1" max="1" width="42" customWidth="1"/>
    <col min="2" max="9" width="16" customWidth="1"/>
  </cols>
  <sheetData>
    <row r="1" spans="1:9" ht="17.25" customHeight="1" x14ac:dyDescent="0.25">
      <c r="A1" s="1" t="s">
        <v>0</v>
      </c>
    </row>
    <row r="2" spans="1:9" ht="15" customHeight="1" x14ac:dyDescent="0.25">
      <c r="A2" s="2" t="s">
        <v>66</v>
      </c>
    </row>
    <row r="4" spans="1:9" ht="15" customHeight="1" x14ac:dyDescent="0.25">
      <c r="A4" s="4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6" spans="1:9" ht="15" customHeight="1" x14ac:dyDescent="0.25">
      <c r="A6" s="5" t="s">
        <v>67</v>
      </c>
    </row>
    <row r="7" spans="1:9" ht="15" customHeight="1" x14ac:dyDescent="0.25">
      <c r="A7" s="6" t="s">
        <v>13</v>
      </c>
      <c r="B7" s="18">
        <f>Assumptions!B8</f>
        <v>49954</v>
      </c>
      <c r="C7" s="18">
        <f>Assumptions!C8</f>
        <v>52961</v>
      </c>
      <c r="D7" s="18">
        <f>Assumptions!D8</f>
        <v>57399</v>
      </c>
      <c r="E7" s="18">
        <f>Assumptions!E8</f>
        <v>68300</v>
      </c>
      <c r="F7" s="18">
        <f>Assumptions!F8</f>
        <v>88400</v>
      </c>
      <c r="G7" s="18">
        <f>Assumptions!G8</f>
        <v>106100</v>
      </c>
      <c r="H7" s="18">
        <f>Assumptions!H8</f>
        <v>122000</v>
      </c>
      <c r="I7" s="18">
        <f>Assumptions!I8</f>
        <v>136600</v>
      </c>
    </row>
    <row r="8" spans="1:9" ht="15" customHeight="1" x14ac:dyDescent="0.25">
      <c r="A8" s="10" t="s">
        <v>15</v>
      </c>
      <c r="C8" s="19">
        <f>Assumptions!C9</f>
        <v>6.0195379749369504E-2</v>
      </c>
      <c r="D8" s="19">
        <f>Assumptions!D9</f>
        <v>8.3797511376295875E-2</v>
      </c>
      <c r="E8" s="19">
        <f>Assumptions!E9</f>
        <v>0.18991620063067294</v>
      </c>
      <c r="F8" s="19">
        <f>Assumptions!F9</f>
        <v>0.29428989751098089</v>
      </c>
      <c r="G8" s="19">
        <f>Assumptions!G9</f>
        <v>0.20022624434389136</v>
      </c>
      <c r="H8" s="19">
        <f>Assumptions!H9</f>
        <v>0.14985862393967952</v>
      </c>
      <c r="I8" s="19">
        <f>Assumptions!I9</f>
        <v>0.11967213114754105</v>
      </c>
    </row>
    <row r="10" spans="1:9" ht="15" customHeight="1" x14ac:dyDescent="0.25">
      <c r="A10" s="5" t="s">
        <v>68</v>
      </c>
    </row>
    <row r="11" spans="1:9" ht="15" customHeight="1" x14ac:dyDescent="0.25">
      <c r="A11" s="6" t="s">
        <v>23</v>
      </c>
      <c r="B11" s="18">
        <f>Assumptions!B16</f>
        <v>13059.3498</v>
      </c>
      <c r="C11" s="18">
        <f>Assumptions!C16</f>
        <v>15370.797200000001</v>
      </c>
      <c r="D11" s="18">
        <f>Assumptions!D16</f>
        <v>17675.284499999998</v>
      </c>
      <c r="E11" s="18">
        <f>Assumptions!E16</f>
        <v>19686</v>
      </c>
      <c r="F11" s="18">
        <f>Assumptions!F16</f>
        <v>25012</v>
      </c>
      <c r="G11" s="18">
        <f>Assumptions!G16</f>
        <v>30684</v>
      </c>
      <c r="H11" s="18">
        <f>Assumptions!H16</f>
        <v>36900</v>
      </c>
      <c r="I11" s="18">
        <f>Assumptions!I16</f>
        <v>41970</v>
      </c>
    </row>
    <row r="12" spans="1:9" ht="15" customHeight="1" x14ac:dyDescent="0.25">
      <c r="A12" s="10" t="s">
        <v>69</v>
      </c>
      <c r="B12" s="20">
        <f t="shared" ref="B12:I12" si="0">-B11*B13</f>
        <v>-1958.90247</v>
      </c>
      <c r="C12" s="20">
        <f t="shared" si="0"/>
        <v>-2290.2487827999998</v>
      </c>
      <c r="D12" s="20">
        <f t="shared" si="0"/>
        <v>-2403.8386919999998</v>
      </c>
      <c r="E12" s="20">
        <f t="shared" si="0"/>
        <v>-3740.34</v>
      </c>
      <c r="F12" s="20">
        <f t="shared" si="0"/>
        <v>-4752.28</v>
      </c>
      <c r="G12" s="20">
        <f t="shared" si="0"/>
        <v>-5829.96</v>
      </c>
      <c r="H12" s="20">
        <f t="shared" si="0"/>
        <v>-7011</v>
      </c>
      <c r="I12" s="20">
        <f t="shared" si="0"/>
        <v>-7974.3</v>
      </c>
    </row>
    <row r="13" spans="1:9" ht="15" customHeight="1" x14ac:dyDescent="0.25">
      <c r="A13" s="10" t="s">
        <v>70</v>
      </c>
      <c r="B13" s="19">
        <f>Assumptions!B24</f>
        <v>0.15</v>
      </c>
      <c r="C13" s="19">
        <f>Assumptions!C24</f>
        <v>0.14899999999999999</v>
      </c>
      <c r="D13" s="19">
        <f>Assumptions!D24</f>
        <v>0.13600000000000001</v>
      </c>
      <c r="E13" s="19">
        <f>Assumptions!E24</f>
        <v>0.19</v>
      </c>
      <c r="F13" s="19">
        <f>Assumptions!F24</f>
        <v>0.19</v>
      </c>
      <c r="G13" s="19">
        <f>Assumptions!G24</f>
        <v>0.19</v>
      </c>
      <c r="H13" s="19">
        <f>Assumptions!H24</f>
        <v>0.19</v>
      </c>
      <c r="I13" s="19">
        <f>Assumptions!I24</f>
        <v>0.19</v>
      </c>
    </row>
    <row r="14" spans="1:9" ht="15" customHeight="1" x14ac:dyDescent="0.25">
      <c r="A14" s="6" t="s">
        <v>71</v>
      </c>
      <c r="B14" s="21">
        <f t="shared" ref="B14:I14" si="1">B11+B12</f>
        <v>11100.447329999999</v>
      </c>
      <c r="C14" s="21">
        <f t="shared" si="1"/>
        <v>13080.548417200001</v>
      </c>
      <c r="D14" s="21">
        <f t="shared" si="1"/>
        <v>15271.445807999999</v>
      </c>
      <c r="E14" s="21">
        <f t="shared" si="1"/>
        <v>15945.66</v>
      </c>
      <c r="F14" s="21">
        <f t="shared" si="1"/>
        <v>20259.72</v>
      </c>
      <c r="G14" s="21">
        <f t="shared" si="1"/>
        <v>24854.04</v>
      </c>
      <c r="H14" s="21">
        <f t="shared" si="1"/>
        <v>29889</v>
      </c>
      <c r="I14" s="21">
        <f t="shared" si="1"/>
        <v>33995.699999999997</v>
      </c>
    </row>
    <row r="16" spans="1:9" ht="15" customHeight="1" x14ac:dyDescent="0.25">
      <c r="A16" s="5" t="s">
        <v>72</v>
      </c>
    </row>
    <row r="17" spans="1:9" ht="15" customHeight="1" x14ac:dyDescent="0.25">
      <c r="A17" s="10" t="s">
        <v>73</v>
      </c>
      <c r="B17" s="18">
        <f>Assumptions!B14</f>
        <v>6108</v>
      </c>
      <c r="C17" s="18">
        <f>Assumptions!C14</f>
        <v>6089</v>
      </c>
      <c r="D17" s="18">
        <f>Assumptions!D14</f>
        <v>6174</v>
      </c>
      <c r="E17" s="18">
        <f>Assumptions!E14</f>
        <v>9000</v>
      </c>
      <c r="F17" s="18">
        <f>Assumptions!F14</f>
        <v>13000</v>
      </c>
      <c r="G17" s="18">
        <f>Assumptions!G14</f>
        <v>16000</v>
      </c>
      <c r="H17" s="18">
        <f>Assumptions!H14</f>
        <v>18000</v>
      </c>
      <c r="I17" s="18">
        <f>Assumptions!I14</f>
        <v>19500</v>
      </c>
    </row>
    <row r="18" spans="1:9" ht="15" customHeight="1" x14ac:dyDescent="0.25">
      <c r="A18" s="10" t="s">
        <v>74</v>
      </c>
      <c r="B18" s="22">
        <f>-Assumptions!B20</f>
        <v>-8695</v>
      </c>
      <c r="C18" s="22">
        <f>-Assumptions!C20</f>
        <v>-6866</v>
      </c>
      <c r="D18" s="22">
        <f>-Assumptions!D20</f>
        <v>-21194</v>
      </c>
      <c r="E18" s="22">
        <f>-Assumptions!E20</f>
        <v>-42000</v>
      </c>
      <c r="F18" s="22">
        <f>-Assumptions!F20</f>
        <v>-38000</v>
      </c>
      <c r="G18" s="22">
        <f>-Assumptions!G20</f>
        <v>-30000</v>
      </c>
      <c r="H18" s="22">
        <f>-Assumptions!H20</f>
        <v>-25000</v>
      </c>
      <c r="I18" s="22">
        <f>-Assumptions!I20</f>
        <v>-22000</v>
      </c>
    </row>
    <row r="19" spans="1:9" ht="15" customHeight="1" x14ac:dyDescent="0.25">
      <c r="A19" s="10" t="s">
        <v>75</v>
      </c>
      <c r="B19" s="22">
        <f>-Assumptions!B22</f>
        <v>-800</v>
      </c>
      <c r="C19" s="22">
        <f>-Assumptions!C22</f>
        <v>-600</v>
      </c>
      <c r="D19" s="22">
        <f>-Assumptions!D22</f>
        <v>-700</v>
      </c>
      <c r="E19" s="22">
        <f>-Assumptions!E22</f>
        <v>-163</v>
      </c>
      <c r="F19" s="22">
        <f>-Assumptions!F22</f>
        <v>-302</v>
      </c>
      <c r="G19" s="22">
        <f>-Assumptions!G22</f>
        <v>-266</v>
      </c>
      <c r="H19" s="22">
        <f>-Assumptions!H22</f>
        <v>-239</v>
      </c>
      <c r="I19" s="22">
        <f>-Assumptions!I22</f>
        <v>-219</v>
      </c>
    </row>
    <row r="21" spans="1:9" ht="15" customHeight="1" x14ac:dyDescent="0.25">
      <c r="A21" s="6" t="s">
        <v>76</v>
      </c>
      <c r="B21" s="23">
        <f t="shared" ref="B21:I21" si="2">B14+B17+B18+B19</f>
        <v>7713.4473299999991</v>
      </c>
      <c r="C21" s="23">
        <f t="shared" si="2"/>
        <v>11703.5484172</v>
      </c>
      <c r="D21" s="23">
        <f t="shared" si="2"/>
        <v>-448.55419200000324</v>
      </c>
      <c r="E21" s="23">
        <f t="shared" si="2"/>
        <v>-17217.34</v>
      </c>
      <c r="F21" s="23">
        <f t="shared" si="2"/>
        <v>-5042.2799999999988</v>
      </c>
      <c r="G21" s="23">
        <f t="shared" si="2"/>
        <v>10588.04</v>
      </c>
      <c r="H21" s="23">
        <f t="shared" si="2"/>
        <v>22650</v>
      </c>
      <c r="I21" s="23">
        <f t="shared" si="2"/>
        <v>31276.699999999997</v>
      </c>
    </row>
    <row r="23" spans="1:9" ht="15" customHeight="1" x14ac:dyDescent="0.25">
      <c r="A23" s="5" t="s">
        <v>77</v>
      </c>
    </row>
    <row r="24" spans="1:9" ht="15" customHeight="1" x14ac:dyDescent="0.25">
      <c r="A24" s="10" t="s">
        <v>78</v>
      </c>
      <c r="B24" s="11">
        <f t="shared" ref="B24:I24" si="3">IF(B7=0,0,B21/B7)</f>
        <v>0.15441100472434638</v>
      </c>
      <c r="C24" s="11">
        <f t="shared" si="3"/>
        <v>0.22098427932252035</v>
      </c>
      <c r="D24" s="11">
        <f t="shared" si="3"/>
        <v>-7.8146691057336057E-3</v>
      </c>
      <c r="E24" s="11">
        <f t="shared" si="3"/>
        <v>-0.25208404099560761</v>
      </c>
      <c r="F24" s="11">
        <f t="shared" si="3"/>
        <v>-5.7039366515837089E-2</v>
      </c>
      <c r="G24" s="11">
        <f t="shared" si="3"/>
        <v>9.9793025447690864E-2</v>
      </c>
      <c r="H24" s="11">
        <f t="shared" si="3"/>
        <v>0.18565573770491803</v>
      </c>
      <c r="I24" s="11">
        <f t="shared" si="3"/>
        <v>0.22896559297218153</v>
      </c>
    </row>
    <row r="25" spans="1:9" ht="15" customHeight="1" x14ac:dyDescent="0.25">
      <c r="A25" s="10" t="s">
        <v>79</v>
      </c>
      <c r="C25" s="11">
        <f t="shared" ref="C25:I25" si="4">IF(B21=0,0,C21/B21-1)</f>
        <v>0.51729154507625341</v>
      </c>
      <c r="D25" s="11">
        <f t="shared" si="4"/>
        <v>-1.0383263413804305</v>
      </c>
      <c r="E25" s="11">
        <f t="shared" si="4"/>
        <v>37.384080022152318</v>
      </c>
      <c r="F25" s="11">
        <f t="shared" si="4"/>
        <v>-0.7071394303649694</v>
      </c>
      <c r="G25" s="11">
        <f t="shared" si="4"/>
        <v>-3.099851654410307</v>
      </c>
      <c r="H25" s="11">
        <f t="shared" si="4"/>
        <v>1.13920612313516</v>
      </c>
      <c r="I25" s="11">
        <f t="shared" si="4"/>
        <v>0.38086975717439286</v>
      </c>
    </row>
    <row r="26" spans="1:9" ht="15" customHeight="1" x14ac:dyDescent="0.25">
      <c r="A26" s="10" t="s">
        <v>28</v>
      </c>
      <c r="B26" s="19">
        <f>Assumptions!B21</f>
        <v>0.17406013532449854</v>
      </c>
      <c r="C26" s="19">
        <f>Assumptions!C21</f>
        <v>0.12964256717207001</v>
      </c>
      <c r="D26" s="19">
        <f>Assumptions!D21</f>
        <v>0.36923988222791337</v>
      </c>
      <c r="E26" s="19">
        <f>Assumptions!E21</f>
        <v>0.6149341142020498</v>
      </c>
      <c r="F26" s="19">
        <f>Assumptions!F21</f>
        <v>0.42986425339366519</v>
      </c>
      <c r="G26" s="19">
        <f>Assumptions!G21</f>
        <v>0.28275212064090482</v>
      </c>
      <c r="H26" s="19">
        <f>Assumptions!H21</f>
        <v>0.20491803278688525</v>
      </c>
      <c r="I26" s="19">
        <f>Assumptions!I21</f>
        <v>0.16105417276720352</v>
      </c>
    </row>
    <row r="27" spans="1:9" ht="15" customHeight="1" x14ac:dyDescent="0.25">
      <c r="A27" s="10" t="s">
        <v>22</v>
      </c>
      <c r="B27" s="19">
        <f>Assumptions!B15</f>
        <v>0.12227249069143613</v>
      </c>
      <c r="C27" s="19">
        <f>Assumptions!C15</f>
        <v>0.11497139404467438</v>
      </c>
      <c r="D27" s="19">
        <f>Assumptions!D15</f>
        <v>0.10756284952699524</v>
      </c>
      <c r="E27" s="19">
        <f>Assumptions!E15</f>
        <v>0.13177159590043924</v>
      </c>
      <c r="F27" s="19">
        <f>Assumptions!F15</f>
        <v>0.14705882352941177</v>
      </c>
      <c r="G27" s="19">
        <f>Assumptions!G15</f>
        <v>0.15080113100848255</v>
      </c>
      <c r="H27" s="19">
        <f>Assumptions!H15</f>
        <v>0.14754098360655737</v>
      </c>
      <c r="I27" s="19">
        <f>Assumptions!I15</f>
        <v>0.14275256222547583</v>
      </c>
    </row>
    <row r="28" spans="1:9" ht="15" customHeight="1" x14ac:dyDescent="0.25">
      <c r="A28" s="10" t="s">
        <v>18</v>
      </c>
      <c r="B28" s="19">
        <f>Assumptions!B13</f>
        <v>0.38369999999999999</v>
      </c>
      <c r="C28" s="19">
        <f>Assumptions!C13</f>
        <v>0.4052</v>
      </c>
      <c r="D28" s="19">
        <f>Assumptions!D13</f>
        <v>0.41549999999999998</v>
      </c>
      <c r="E28" s="19">
        <f>Assumptions!E13</f>
        <v>0.42</v>
      </c>
      <c r="F28" s="19">
        <f>Assumptions!F13</f>
        <v>0.43</v>
      </c>
      <c r="G28" s="19">
        <f>Assumptions!G13</f>
        <v>0.44</v>
      </c>
      <c r="H28" s="19">
        <f>Assumptions!H13</f>
        <v>0.45</v>
      </c>
      <c r="I28" s="19">
        <f>Assumptions!I13</f>
        <v>0.45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G76"/>
  <sheetViews>
    <sheetView zoomScaleNormal="100" workbookViewId="0">
      <selection activeCell="B17" sqref="B17"/>
    </sheetView>
  </sheetViews>
  <sheetFormatPr defaultColWidth="8.7109375" defaultRowHeight="15" x14ac:dyDescent="0.25"/>
  <cols>
    <col min="1" max="1" width="46" customWidth="1"/>
    <col min="2" max="7" width="18" customWidth="1"/>
  </cols>
  <sheetData>
    <row r="1" spans="1:7" ht="17.25" customHeight="1" x14ac:dyDescent="0.25">
      <c r="A1" s="1" t="s">
        <v>0</v>
      </c>
    </row>
    <row r="2" spans="1:7" ht="15" customHeight="1" x14ac:dyDescent="0.25">
      <c r="A2" s="2" t="s">
        <v>80</v>
      </c>
    </row>
    <row r="4" spans="1:7" ht="15" customHeight="1" x14ac:dyDescent="0.25">
      <c r="A4" s="5" t="s">
        <v>81</v>
      </c>
    </row>
    <row r="5" spans="1:7" ht="15" customHeight="1" x14ac:dyDescent="0.25">
      <c r="A5" s="4"/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/>
    </row>
    <row r="7" spans="1:7" ht="15" customHeight="1" x14ac:dyDescent="0.25">
      <c r="A7" s="10" t="s">
        <v>76</v>
      </c>
      <c r="B7" s="22">
        <f>'Unlevered Free Cash Flow'!E21</f>
        <v>-17217.34</v>
      </c>
      <c r="C7" s="22">
        <f>'Unlevered Free Cash Flow'!F21</f>
        <v>-5042.2799999999988</v>
      </c>
      <c r="D7" s="22">
        <f>'Unlevered Free Cash Flow'!G21</f>
        <v>10588.04</v>
      </c>
      <c r="E7" s="22">
        <f>'Unlevered Free Cash Flow'!H21</f>
        <v>22650</v>
      </c>
      <c r="F7" s="22">
        <f>'Unlevered Free Cash Flow'!I21</f>
        <v>31276.699999999997</v>
      </c>
    </row>
    <row r="8" spans="1:7" ht="15" customHeight="1" x14ac:dyDescent="0.25">
      <c r="A8" s="10" t="s">
        <v>82</v>
      </c>
      <c r="B8" s="24">
        <v>0.5</v>
      </c>
      <c r="C8" s="24">
        <v>1.5</v>
      </c>
      <c r="D8" s="24">
        <v>2.5</v>
      </c>
      <c r="E8" s="24">
        <v>3.5</v>
      </c>
      <c r="F8" s="24">
        <v>4.5</v>
      </c>
    </row>
    <row r="9" spans="1:7" ht="15" customHeight="1" x14ac:dyDescent="0.25">
      <c r="A9" s="10" t="s">
        <v>83</v>
      </c>
      <c r="B9" s="25">
        <f>1/(1+Assumptions!$B$42)^B8</f>
        <v>0.95118506378683154</v>
      </c>
      <c r="C9" s="25">
        <f>1/(1+Assumptions!$B$42)^C8</f>
        <v>0.86058756433923167</v>
      </c>
      <c r="D9" s="25">
        <f>1/(1+Assumptions!$B$42)^D8</f>
        <v>0.77861920260483419</v>
      </c>
      <c r="E9" s="25">
        <f>1/(1+Assumptions!$B$42)^E8</f>
        <v>0.70445807932452698</v>
      </c>
      <c r="F9" s="25">
        <f>1/(1+Assumptions!$B$42)^F8</f>
        <v>0.63736057865691309</v>
      </c>
    </row>
    <row r="10" spans="1:7" ht="15" customHeight="1" x14ac:dyDescent="0.25">
      <c r="A10" s="6" t="s">
        <v>84</v>
      </c>
      <c r="B10" s="26">
        <f>B7*B9</f>
        <v>-16376.876646139566</v>
      </c>
      <c r="C10" s="26">
        <f>C7*C9</f>
        <v>-4339.3234639164202</v>
      </c>
      <c r="D10" s="26">
        <f>D7*D9</f>
        <v>8244.0512619480887</v>
      </c>
      <c r="E10" s="26">
        <f>E7*E9</f>
        <v>15955.975496700536</v>
      </c>
      <c r="F10" s="26">
        <f>F7*F9</f>
        <v>19934.535610478673</v>
      </c>
    </row>
    <row r="12" spans="1:7" ht="15" customHeight="1" x14ac:dyDescent="0.25">
      <c r="A12" s="6" t="s">
        <v>85</v>
      </c>
      <c r="B12" s="27">
        <f>SUM(B10:F10)</f>
        <v>23418.362259071313</v>
      </c>
    </row>
    <row r="14" spans="1:7" ht="15" customHeight="1" x14ac:dyDescent="0.25">
      <c r="A14" s="5" t="s">
        <v>86</v>
      </c>
    </row>
    <row r="16" spans="1:7" ht="15" customHeight="1" x14ac:dyDescent="0.25">
      <c r="A16" s="6" t="s">
        <v>87</v>
      </c>
    </row>
    <row r="17" spans="1:7" ht="15" customHeight="1" x14ac:dyDescent="0.25">
      <c r="A17" s="10" t="s">
        <v>88</v>
      </c>
      <c r="B17" s="18">
        <f>F7</f>
        <v>31276.699999999997</v>
      </c>
    </row>
    <row r="18" spans="1:7" ht="15" customHeight="1" x14ac:dyDescent="0.25">
      <c r="A18" s="10" t="s">
        <v>62</v>
      </c>
      <c r="B18" s="19">
        <f>Assumptions!B45</f>
        <v>2.5000000000000001E-2</v>
      </c>
    </row>
    <row r="19" spans="1:7" ht="15" customHeight="1" x14ac:dyDescent="0.25">
      <c r="A19" s="10" t="s">
        <v>89</v>
      </c>
      <c r="B19" s="19">
        <f>Assumptions!B42</f>
        <v>0.10527400487963325</v>
      </c>
    </row>
    <row r="20" spans="1:7" ht="15" customHeight="1" x14ac:dyDescent="0.25">
      <c r="A20" s="6" t="s">
        <v>90</v>
      </c>
      <c r="B20" s="13">
        <f>B17*(1+B18)/(B19-B18)</f>
        <v>399364.86971181078</v>
      </c>
    </row>
    <row r="21" spans="1:7" ht="15" customHeight="1" x14ac:dyDescent="0.25">
      <c r="A21" s="6" t="s">
        <v>91</v>
      </c>
      <c r="B21" s="27">
        <f>B20/(1+B19)^4.5</f>
        <v>254539.42445476245</v>
      </c>
    </row>
    <row r="23" spans="1:7" ht="15" customHeight="1" x14ac:dyDescent="0.25">
      <c r="A23" s="6" t="s">
        <v>92</v>
      </c>
    </row>
    <row r="24" spans="1:7" ht="15" customHeight="1" x14ac:dyDescent="0.25">
      <c r="A24" s="10" t="s">
        <v>93</v>
      </c>
      <c r="B24" s="18">
        <f>Assumptions!I12</f>
        <v>61470</v>
      </c>
    </row>
    <row r="25" spans="1:7" ht="15" customHeight="1" x14ac:dyDescent="0.25">
      <c r="A25" s="10" t="s">
        <v>64</v>
      </c>
      <c r="B25" s="28">
        <f>Assumptions!B46</f>
        <v>18</v>
      </c>
    </row>
    <row r="26" spans="1:7" ht="15" customHeight="1" x14ac:dyDescent="0.25">
      <c r="A26" s="6" t="s">
        <v>90</v>
      </c>
      <c r="B26" s="13">
        <f>B24*B25</f>
        <v>1106460</v>
      </c>
    </row>
    <row r="27" spans="1:7" ht="15" customHeight="1" x14ac:dyDescent="0.25">
      <c r="A27" s="6" t="s">
        <v>91</v>
      </c>
      <c r="B27" s="27">
        <f>B26/(1+B19)^4.5</f>
        <v>705213.98586072808</v>
      </c>
    </row>
    <row r="29" spans="1:7" ht="15" customHeight="1" x14ac:dyDescent="0.25">
      <c r="A29" s="5" t="s">
        <v>94</v>
      </c>
    </row>
    <row r="30" spans="1:7" ht="15" customHeight="1" x14ac:dyDescent="0.25">
      <c r="A30" s="4"/>
      <c r="B30" s="4" t="s">
        <v>95</v>
      </c>
      <c r="C30" s="4" t="s">
        <v>96</v>
      </c>
      <c r="D30" s="4"/>
      <c r="E30" s="4"/>
      <c r="F30" s="4"/>
      <c r="G30" s="4"/>
    </row>
    <row r="31" spans="1:7" ht="15" customHeight="1" x14ac:dyDescent="0.25">
      <c r="A31" s="10" t="s">
        <v>97</v>
      </c>
      <c r="B31" s="7">
        <f>$B$12</f>
        <v>23418.362259071313</v>
      </c>
      <c r="C31" s="7">
        <f>$B$12</f>
        <v>23418.362259071313</v>
      </c>
    </row>
    <row r="32" spans="1:7" ht="15" customHeight="1" x14ac:dyDescent="0.25">
      <c r="A32" s="10" t="s">
        <v>98</v>
      </c>
      <c r="B32" s="7">
        <f>B21</f>
        <v>254539.42445476245</v>
      </c>
      <c r="C32" s="7">
        <f>B27</f>
        <v>705213.98586072808</v>
      </c>
    </row>
    <row r="33" spans="1:3" ht="15" customHeight="1" x14ac:dyDescent="0.25">
      <c r="A33" s="6" t="s">
        <v>99</v>
      </c>
      <c r="B33" s="27">
        <f>B31+B32</f>
        <v>277957.78671383375</v>
      </c>
      <c r="C33" s="27">
        <f>C31+C32</f>
        <v>728632.3481197994</v>
      </c>
    </row>
    <row r="34" spans="1:3" ht="15" customHeight="1" x14ac:dyDescent="0.25">
      <c r="A34" s="10"/>
    </row>
    <row r="35" spans="1:3" ht="15" customHeight="1" x14ac:dyDescent="0.25">
      <c r="A35" s="10" t="s">
        <v>100</v>
      </c>
      <c r="B35" s="18">
        <f>Assumptions!B38</f>
        <v>95502</v>
      </c>
      <c r="C35" s="18">
        <f>Assumptions!B38</f>
        <v>95502</v>
      </c>
    </row>
    <row r="36" spans="1:3" ht="15" customHeight="1" x14ac:dyDescent="0.25">
      <c r="A36" s="10" t="s">
        <v>101</v>
      </c>
      <c r="B36" s="8">
        <v>518</v>
      </c>
      <c r="C36" s="8">
        <v>518</v>
      </c>
    </row>
    <row r="37" spans="1:3" ht="15" customHeight="1" x14ac:dyDescent="0.25">
      <c r="A37" s="10" t="s">
        <v>102</v>
      </c>
      <c r="B37" s="8">
        <v>10456</v>
      </c>
      <c r="C37" s="8">
        <v>10456</v>
      </c>
    </row>
    <row r="38" spans="1:3" ht="15" customHeight="1" x14ac:dyDescent="0.25">
      <c r="A38" s="10"/>
    </row>
    <row r="39" spans="1:3" ht="15" customHeight="1" x14ac:dyDescent="0.25">
      <c r="A39" s="6" t="s">
        <v>103</v>
      </c>
      <c r="B39" s="27">
        <f>B33-B35-B36+B37</f>
        <v>192393.78671383375</v>
      </c>
      <c r="C39" s="27">
        <f>C33-C35-C36+C37</f>
        <v>643068.3481197994</v>
      </c>
    </row>
    <row r="40" spans="1:3" ht="15" customHeight="1" x14ac:dyDescent="0.25">
      <c r="A40" s="10"/>
    </row>
    <row r="41" spans="1:3" ht="15" customHeight="1" x14ac:dyDescent="0.25">
      <c r="A41" s="10" t="s">
        <v>104</v>
      </c>
      <c r="B41" s="8">
        <v>2870</v>
      </c>
      <c r="C41" s="8">
        <v>2870</v>
      </c>
    </row>
    <row r="42" spans="1:3" ht="15" customHeight="1" x14ac:dyDescent="0.25">
      <c r="A42" s="6" t="s">
        <v>105</v>
      </c>
      <c r="B42" s="29">
        <f>IF(B41=0,"",B39/B41)</f>
        <v>67.036162618060544</v>
      </c>
      <c r="C42" s="29">
        <f>IF(C41=0,"",C39/C41)</f>
        <v>224.06562652257819</v>
      </c>
    </row>
    <row r="43" spans="1:3" ht="15" customHeight="1" x14ac:dyDescent="0.25">
      <c r="A43" s="10"/>
    </row>
    <row r="44" spans="1:3" ht="15" customHeight="1" x14ac:dyDescent="0.25">
      <c r="A44" s="10" t="s">
        <v>106</v>
      </c>
      <c r="B44" s="30">
        <v>155.52000000000001</v>
      </c>
      <c r="C44" s="30">
        <v>155.52000000000001</v>
      </c>
    </row>
    <row r="45" spans="1:3" ht="15" customHeight="1" x14ac:dyDescent="0.25">
      <c r="A45" s="6" t="s">
        <v>107</v>
      </c>
      <c r="B45" s="16">
        <f>IF(B44=0,"",B42/B44-1)</f>
        <v>-0.56895471567605105</v>
      </c>
      <c r="C45" s="16">
        <f>IF(C44=0,"",C42/C44-1)</f>
        <v>0.44075119934785345</v>
      </c>
    </row>
    <row r="47" spans="1:3" ht="15" customHeight="1" x14ac:dyDescent="0.25">
      <c r="A47" s="6" t="s">
        <v>108</v>
      </c>
      <c r="B47" s="11">
        <f>IF(B33=0,"",B32/B33)</f>
        <v>0.91574849355387467</v>
      </c>
      <c r="C47" s="11">
        <f>IF(C33=0,"",C32/C33)</f>
        <v>0.96785983724233315</v>
      </c>
    </row>
    <row r="48" spans="1:3" ht="15" customHeight="1" x14ac:dyDescent="0.25">
      <c r="A48" s="10" t="s">
        <v>109</v>
      </c>
      <c r="B48" s="31">
        <f>IF(B24=0,"",B20/B24)</f>
        <v>6.4969069417896659</v>
      </c>
    </row>
    <row r="50" spans="1:7" ht="15" customHeight="1" x14ac:dyDescent="0.25">
      <c r="A50" s="5" t="s">
        <v>110</v>
      </c>
    </row>
    <row r="52" spans="1:7" ht="15" customHeight="1" x14ac:dyDescent="0.25">
      <c r="A52" s="6" t="s">
        <v>111</v>
      </c>
    </row>
    <row r="53" spans="1:7" ht="15" customHeight="1" x14ac:dyDescent="0.25">
      <c r="A53" s="4" t="s">
        <v>112</v>
      </c>
      <c r="B53" s="4" t="s">
        <v>113</v>
      </c>
      <c r="C53" s="4" t="s">
        <v>114</v>
      </c>
      <c r="D53" s="4" t="s">
        <v>115</v>
      </c>
      <c r="E53" s="4" t="s">
        <v>116</v>
      </c>
      <c r="F53" s="4" t="s">
        <v>117</v>
      </c>
      <c r="G53" s="4"/>
    </row>
    <row r="54" spans="1:7" ht="15" customHeight="1" x14ac:dyDescent="0.25">
      <c r="A54" s="32">
        <v>0.09</v>
      </c>
      <c r="B54" s="33">
        <f>($B$12+('Unlevered Free Cash Flow'!$I$21*(1+B$63)/($A54-B$63))/(1+$A54)^4.5-$B$35-$B$36+$B$37)/$B$41</f>
        <v>78.421229667507802</v>
      </c>
      <c r="C54" s="33">
        <f>($B$12+('Unlevered Free Cash Flow'!$I$21*(1+C$63)/($A54-C$63))/(1+$A54)^4.5-$B$35-$B$36+$B$37)/$B$41</f>
        <v>86.097618869460533</v>
      </c>
      <c r="D54" s="33">
        <f>($B$12+('Unlevered Free Cash Flow'!$I$21*(1+D$63)/($A54-D$63))/(1+$A54)^4.5-$B$35-$B$36+$B$37)/$B$41</f>
        <v>94.954991025559792</v>
      </c>
      <c r="E54" s="33">
        <f>($B$12+('Unlevered Free Cash Flow'!$I$21*(1+E$63)/($A54-E$63))/(1+$A54)^4.5-$B$35-$B$36+$B$37)/$B$41</f>
        <v>105.2885918743423</v>
      </c>
      <c r="F54" s="33">
        <f>($B$12+('Unlevered Free Cash Flow'!$I$21*(1+F$63)/($A54-F$63))/(1+$A54)^4.5-$B$35-$B$36+$B$37)/$B$41</f>
        <v>117.50102924108525</v>
      </c>
    </row>
    <row r="55" spans="1:7" ht="15" customHeight="1" x14ac:dyDescent="0.25">
      <c r="A55" s="32">
        <v>9.5000000000000001E-2</v>
      </c>
      <c r="B55" s="33">
        <f>($B$12+('Unlevered Free Cash Flow'!$I$21*(1+B$63)/($A55-B$63))/(1+$A55)^4.5-$B$35-$B$36+$B$37)/$B$41</f>
        <v>70.254093345329906</v>
      </c>
      <c r="C55" s="33">
        <f>($B$12+('Unlevered Free Cash Flow'!$I$21*(1+C$63)/($A55-C$63))/(1+$A55)^4.5-$B$35-$B$36+$B$37)/$B$41</f>
        <v>76.864198442004479</v>
      </c>
      <c r="D55" s="33">
        <f>($B$12+('Unlevered Free Cash Flow'!$I$21*(1+D$63)/($A55-D$63))/(1+$A55)^4.5-$B$35-$B$36+$B$37)/$B$41</f>
        <v>84.41860426677539</v>
      </c>
      <c r="E55" s="33">
        <f>($B$12+('Unlevered Free Cash Flow'!$I$21*(1+E$63)/($A55-E$63))/(1+$A55)^4.5-$B$35-$B$36+$B$37)/$B$41</f>
        <v>93.135226372280343</v>
      </c>
      <c r="F55" s="33">
        <f>($B$12+('Unlevered Free Cash Flow'!$I$21*(1+F$63)/($A55-F$63))/(1+$A55)^4.5-$B$35-$B$36+$B$37)/$B$41</f>
        <v>103.30461882870277</v>
      </c>
    </row>
    <row r="56" spans="1:7" ht="15" customHeight="1" x14ac:dyDescent="0.25">
      <c r="A56" s="32">
        <v>0.1</v>
      </c>
      <c r="B56" s="33">
        <f>($B$12+('Unlevered Free Cash Flow'!$I$21*(1+B$63)/($A56-B$63))/(1+$A56)^4.5-$B$35-$B$36+$B$37)/$B$41</f>
        <v>63.092438870628925</v>
      </c>
      <c r="C56" s="33">
        <f>($B$12+('Unlevered Free Cash Flow'!$I$21*(1+C$63)/($A56-C$63))/(1+$A56)^4.5-$B$35-$B$36+$B$37)/$B$41</f>
        <v>68.832621647906976</v>
      </c>
      <c r="D56" s="33">
        <f>($B$12+('Unlevered Free Cash Flow'!$I$21*(1+D$63)/($A56-D$63))/(1+$A56)^4.5-$B$35-$B$36+$B$37)/$B$41</f>
        <v>75.338162128822077</v>
      </c>
      <c r="E56" s="33">
        <f>($B$12+('Unlevered Free Cash Flow'!$I$21*(1+E$63)/($A56-E$63))/(1+$A56)^4.5-$B$35-$B$36+$B$37)/$B$41</f>
        <v>82.773065535582234</v>
      </c>
      <c r="F56" s="33">
        <f>($B$12+('Unlevered Free Cash Flow'!$I$21*(1+F$63)/($A56-F$63))/(1+$A56)^4.5-$B$35-$B$36+$B$37)/$B$41</f>
        <v>91.351800235690092</v>
      </c>
    </row>
    <row r="57" spans="1:7" ht="15" customHeight="1" x14ac:dyDescent="0.25">
      <c r="A57" s="32">
        <v>0.105</v>
      </c>
      <c r="B57" s="33">
        <f>($B$12+('Unlevered Free Cash Flow'!$I$21*(1+B$63)/($A57-B$63))/(1+$A57)^4.5-$B$35-$B$36+$B$37)/$B$41</f>
        <v>56.767455669558025</v>
      </c>
      <c r="C57" s="33">
        <f>($B$12+('Unlevered Free Cash Flow'!$I$21*(1+C$63)/($A57-C$63))/(1+$A57)^4.5-$B$35-$B$36+$B$37)/$B$41</f>
        <v>61.78948938278522</v>
      </c>
      <c r="D57" s="33">
        <f>($B$12+('Unlevered Free Cash Flow'!$I$21*(1+D$63)/($A57-D$63))/(1+$A57)^4.5-$B$35-$B$36+$B$37)/$B$41</f>
        <v>67.439277310165778</v>
      </c>
      <c r="E57" s="33">
        <f>($B$12+('Unlevered Free Cash Flow'!$I$21*(1+E$63)/($A57-E$63))/(1+$A57)^4.5-$B$35-$B$36+$B$37)/$B$41</f>
        <v>73.842370294530426</v>
      </c>
      <c r="F57" s="33">
        <f>($B$12+('Unlevered Free Cash Flow'!$I$21*(1+F$63)/($A57-F$63))/(1+$A57)^4.5-$B$35-$B$36+$B$37)/$B$41</f>
        <v>81.160190848090011</v>
      </c>
    </row>
    <row r="58" spans="1:7" ht="15" customHeight="1" x14ac:dyDescent="0.25">
      <c r="A58" s="32">
        <v>0.11</v>
      </c>
      <c r="B58" s="33">
        <f>($B$12+('Unlevered Free Cash Flow'!$I$21*(1+B$63)/($A58-B$63))/(1+$A58)^4.5-$B$35-$B$36+$B$37)/$B$41</f>
        <v>51.14591130202588</v>
      </c>
      <c r="C58" s="33">
        <f>($B$12+('Unlevered Free Cash Flow'!$I$21*(1+C$63)/($A58-C$63))/(1+$A58)^4.5-$B$35-$B$36+$B$37)/$B$41</f>
        <v>55.568866004472078</v>
      </c>
      <c r="D58" s="33">
        <f>($B$12+('Unlevered Free Cash Flow'!$I$21*(1+D$63)/($A58-D$63))/(1+$A58)^4.5-$B$35-$B$36+$B$37)/$B$41</f>
        <v>60.51216831897073</v>
      </c>
      <c r="E58" s="33">
        <f>($B$12+('Unlevered Free Cash Flow'!$I$21*(1+E$63)/($A58-E$63))/(1+$A58)^4.5-$B$35-$B$36+$B$37)/$B$41</f>
        <v>66.073383422781717</v>
      </c>
      <c r="F58" s="33">
        <f>($B$12+('Unlevered Free Cash Flow'!$I$21*(1+F$63)/($A58-F$63))/(1+$A58)^4.5-$B$35-$B$36+$B$37)/$B$41</f>
        <v>72.376093873767516</v>
      </c>
    </row>
    <row r="59" spans="1:7" ht="15" customHeight="1" x14ac:dyDescent="0.25">
      <c r="A59" s="32">
        <v>0.115</v>
      </c>
      <c r="B59" s="33">
        <f>($B$12+('Unlevered Free Cash Flow'!$I$21*(1+B$63)/($A59-B$63))/(1+$A59)^4.5-$B$35-$B$36+$B$37)/$B$41</f>
        <v>46.121255524757153</v>
      </c>
      <c r="C59" s="33">
        <f>($B$12+('Unlevered Free Cash Flow'!$I$21*(1+C$63)/($A59-C$63))/(1+$A59)^4.5-$B$35-$B$36+$B$37)/$B$41</f>
        <v>50.039787463575756</v>
      </c>
      <c r="D59" s="33">
        <f>($B$12+('Unlevered Free Cash Flow'!$I$21*(1+D$63)/($A59-D$63))/(1+$A59)^4.5-$B$35-$B$36+$B$37)/$B$41</f>
        <v>54.393711840040858</v>
      </c>
      <c r="E59" s="33">
        <f>($B$12+('Unlevered Free Cash Flow'!$I$21*(1+E$63)/($A59-E$63))/(1+$A59)^4.5-$B$35-$B$36+$B$37)/$B$41</f>
        <v>59.259862613737148</v>
      </c>
      <c r="F59" s="33">
        <f>($B$12+('Unlevered Free Cash Flow'!$I$21*(1+F$63)/($A59-F$63))/(1+$A59)^4.5-$B$35-$B$36+$B$37)/$B$41</f>
        <v>64.734282234145468</v>
      </c>
    </row>
    <row r="60" spans="1:7" ht="15" customHeight="1" x14ac:dyDescent="0.25">
      <c r="A60" s="32">
        <v>0.12</v>
      </c>
      <c r="B60" s="33">
        <f>($B$12+('Unlevered Free Cash Flow'!$I$21*(1+B$63)/($A60-B$63))/(1+$A60)^4.5-$B$35-$B$36+$B$37)/$B$41</f>
        <v>41.607266106866469</v>
      </c>
      <c r="C60" s="33">
        <f>($B$12+('Unlevered Free Cash Flow'!$I$21*(1+C$63)/($A60-C$63))/(1+$A60)^4.5-$B$35-$B$36+$B$37)/$B$41</f>
        <v>45.097517054219793</v>
      </c>
      <c r="D60" s="33">
        <f>($B$12+('Unlevered Free Cash Flow'!$I$21*(1+D$63)/($A60-D$63))/(1+$A60)^4.5-$B$35-$B$36+$B$37)/$B$41</f>
        <v>48.955162838136616</v>
      </c>
      <c r="E60" s="33">
        <f>($B$12+('Unlevered Free Cash Flow'!$I$21*(1+E$63)/($A60-E$63))/(1+$A60)^4.5-$B$35-$B$36+$B$37)/$B$41</f>
        <v>53.241435931377538</v>
      </c>
      <c r="F60" s="33">
        <f>($B$12+('Unlevered Free Cash Flow'!$I$21*(1+F$63)/($A60-F$63))/(1+$A60)^4.5-$B$35-$B$36+$B$37)/$B$41</f>
        <v>58.031976447352676</v>
      </c>
    </row>
    <row r="61" spans="1:7" ht="15" customHeight="1" x14ac:dyDescent="0.25">
      <c r="A61" s="32">
        <v>0.125</v>
      </c>
      <c r="B61" s="33">
        <f>($B$12+('Unlevered Free Cash Flow'!$I$21*(1+B$63)/($A61-B$63))/(1+$A61)^4.5-$B$35-$B$36+$B$37)/$B$41</f>
        <v>37.533427656025715</v>
      </c>
      <c r="C61" s="33">
        <f>($B$12+('Unlevered Free Cash Flow'!$I$21*(1+C$63)/($A61-C$63))/(1+$A61)^4.5-$B$35-$B$36+$B$37)/$B$41</f>
        <v>40.65729957562133</v>
      </c>
      <c r="D61" s="33">
        <f>($B$12+('Unlevered Free Cash Flow'!$I$21*(1+D$63)/($A61-D$63))/(1+$A61)^4.5-$B$35-$B$36+$B$37)/$B$41</f>
        <v>44.09355868717649</v>
      </c>
      <c r="E61" s="33">
        <f>($B$12+('Unlevered Free Cash Flow'!$I$21*(1+E$63)/($A61-E$63))/(1+$A61)^4.5-$B$35-$B$36+$B$37)/$B$41</f>
        <v>47.891529284158523</v>
      </c>
      <c r="F61" s="33">
        <f>($B$12+('Unlevered Free Cash Flow'!$I$21*(1+F$63)/($A61-F$63))/(1+$A61)^4.5-$B$35-$B$36+$B$37)/$B$41</f>
        <v>52.111496614138552</v>
      </c>
    </row>
    <row r="62" spans="1:7" ht="15" customHeight="1" x14ac:dyDescent="0.25">
      <c r="A62" s="32">
        <v>0.13</v>
      </c>
      <c r="B62" s="33">
        <f>($B$12+('Unlevered Free Cash Flow'!$I$21*(1+B$63)/($A62-B$63))/(1+$A62)^4.5-$B$35-$B$36+$B$37)/$B$41</f>
        <v>33.841516014958522</v>
      </c>
      <c r="C62" s="33">
        <f>($B$12+('Unlevered Free Cash Flow'!$I$21*(1+C$63)/($A62-C$63))/(1+$A62)^4.5-$B$35-$B$36+$B$37)/$B$41</f>
        <v>36.649818953230998</v>
      </c>
      <c r="D62" s="33">
        <f>($B$12+('Unlevered Free Cash Flow'!$I$21*(1+D$63)/($A62-D$63))/(1+$A62)^4.5-$B$35-$B$36+$B$37)/$B$41</f>
        <v>39.725579314196068</v>
      </c>
      <c r="E62" s="33">
        <f>($B$12+('Unlevered Free Cash Flow'!$I$21*(1+E$63)/($A62-E$63))/(1+$A62)^4.5-$B$35-$B$36+$B$37)/$B$41</f>
        <v>43.108915711257666</v>
      </c>
      <c r="F62" s="33">
        <f>($B$12+('Unlevered Free Cash Flow'!$I$21*(1+F$63)/($A62-F$63))/(1+$A62)^4.5-$B$35-$B$36+$B$37)/$B$41</f>
        <v>46.848392781694159</v>
      </c>
    </row>
    <row r="63" spans="1:7" ht="15" customHeight="1" x14ac:dyDescent="0.25">
      <c r="A63" s="9" t="s">
        <v>118</v>
      </c>
      <c r="B63" s="34">
        <v>1.4999999999999999E-2</v>
      </c>
      <c r="C63" s="34">
        <v>0.02</v>
      </c>
      <c r="D63" s="34">
        <v>2.5000000000000001E-2</v>
      </c>
      <c r="E63" s="34">
        <v>0.03</v>
      </c>
      <c r="F63" s="34">
        <v>3.5000000000000003E-2</v>
      </c>
    </row>
    <row r="65" spans="1:7" ht="15" customHeight="1" x14ac:dyDescent="0.25">
      <c r="A65" s="6" t="s">
        <v>119</v>
      </c>
    </row>
    <row r="66" spans="1:7" ht="15" customHeight="1" x14ac:dyDescent="0.25">
      <c r="A66" s="4" t="s">
        <v>120</v>
      </c>
      <c r="B66" s="4" t="s">
        <v>121</v>
      </c>
      <c r="C66" s="4" t="s">
        <v>122</v>
      </c>
      <c r="D66" s="4" t="s">
        <v>123</v>
      </c>
      <c r="E66" s="4" t="s">
        <v>124</v>
      </c>
      <c r="F66" s="4" t="s">
        <v>125</v>
      </c>
      <c r="G66" s="4"/>
    </row>
    <row r="67" spans="1:7" ht="15" customHeight="1" x14ac:dyDescent="0.25">
      <c r="A67" s="32">
        <v>0.09</v>
      </c>
      <c r="B67" s="33">
        <f>($B$12+(Assumptions!$I$12*B$76)/(1+$A67)^4.5-$B$35-$B$36+$B$37)/$B$41</f>
        <v>181.81165441806053</v>
      </c>
      <c r="C67" s="33">
        <f>($B$12+(Assumptions!$I$12*C$76)/(1+$A67)^4.5-$B$35-$B$36+$B$37)/$B$41</f>
        <v>210.87810966548525</v>
      </c>
      <c r="D67" s="33">
        <f>($B$12+(Assumptions!$I$12*D$76)/(1+$A67)^4.5-$B$35-$B$36+$B$37)/$B$41</f>
        <v>239.94456491290995</v>
      </c>
      <c r="E67" s="33">
        <f>($B$12+(Assumptions!$I$12*E$76)/(1+$A67)^4.5-$B$35-$B$36+$B$37)/$B$41</f>
        <v>269.01102016033468</v>
      </c>
      <c r="F67" s="33">
        <f>($B$12+(Assumptions!$I$12*F$76)/(1+$A67)^4.5-$B$35-$B$36+$B$37)/$B$41</f>
        <v>298.07747540775938</v>
      </c>
    </row>
    <row r="68" spans="1:7" ht="15" customHeight="1" x14ac:dyDescent="0.25">
      <c r="A68" s="32">
        <v>9.5000000000000001E-2</v>
      </c>
      <c r="B68" s="33">
        <f>($B$12+(Assumptions!$I$12*B$76)/(1+$A68)^4.5-$B$35-$B$36+$B$37)/$B$41</f>
        <v>177.66414415490553</v>
      </c>
      <c r="C68" s="33">
        <f>($B$12+(Assumptions!$I$12*C$76)/(1+$A68)^4.5-$B$35-$B$36+$B$37)/$B$41</f>
        <v>206.13809793616522</v>
      </c>
      <c r="D68" s="33">
        <f>($B$12+(Assumptions!$I$12*D$76)/(1+$A68)^4.5-$B$35-$B$36+$B$37)/$B$41</f>
        <v>234.61205171742492</v>
      </c>
      <c r="E68" s="33">
        <f>($B$12+(Assumptions!$I$12*E$76)/(1+$A68)^4.5-$B$35-$B$36+$B$37)/$B$41</f>
        <v>263.08600549868464</v>
      </c>
      <c r="F68" s="33">
        <f>($B$12+(Assumptions!$I$12*F$76)/(1+$A68)^4.5-$B$35-$B$36+$B$37)/$B$41</f>
        <v>291.55995927994434</v>
      </c>
    </row>
    <row r="69" spans="1:7" ht="15" customHeight="1" x14ac:dyDescent="0.25">
      <c r="A69" s="32">
        <v>0.1</v>
      </c>
      <c r="B69" s="33">
        <f>($B$12+(Assumptions!$I$12*B$76)/(1+$A69)^4.5-$B$35-$B$36+$B$37)/$B$41</f>
        <v>173.61949935267884</v>
      </c>
      <c r="C69" s="33">
        <f>($B$12+(Assumptions!$I$12*C$76)/(1+$A69)^4.5-$B$35-$B$36+$B$37)/$B$41</f>
        <v>201.51564673362043</v>
      </c>
      <c r="D69" s="33">
        <f>($B$12+(Assumptions!$I$12*D$76)/(1+$A69)^4.5-$B$35-$B$36+$B$37)/$B$41</f>
        <v>229.41179411456204</v>
      </c>
      <c r="E69" s="33">
        <f>($B$12+(Assumptions!$I$12*E$76)/(1+$A69)^4.5-$B$35-$B$36+$B$37)/$B$41</f>
        <v>257.30794149550371</v>
      </c>
      <c r="F69" s="33">
        <f>($B$12+(Assumptions!$I$12*F$76)/(1+$A69)^4.5-$B$35-$B$36+$B$37)/$B$41</f>
        <v>285.20408887644527</v>
      </c>
    </row>
    <row r="70" spans="1:7" ht="15" customHeight="1" x14ac:dyDescent="0.25">
      <c r="A70" s="32">
        <v>0.105</v>
      </c>
      <c r="B70" s="33">
        <f>($B$12+(Assumptions!$I$12*B$76)/(1+$A70)^4.5-$B$35-$B$36+$B$37)/$B$41</f>
        <v>169.67471845994388</v>
      </c>
      <c r="C70" s="33">
        <f>($B$12+(Assumptions!$I$12*C$76)/(1+$A70)^4.5-$B$35-$B$36+$B$37)/$B$41</f>
        <v>197.00732571335192</v>
      </c>
      <c r="D70" s="33">
        <f>($B$12+(Assumptions!$I$12*D$76)/(1+$A70)^4.5-$B$35-$B$36+$B$37)/$B$41</f>
        <v>224.33993296675993</v>
      </c>
      <c r="E70" s="33">
        <f>($B$12+(Assumptions!$I$12*E$76)/(1+$A70)^4.5-$B$35-$B$36+$B$37)/$B$41</f>
        <v>251.672540220168</v>
      </c>
      <c r="F70" s="33">
        <f>($B$12+(Assumptions!$I$12*F$76)/(1+$A70)^4.5-$B$35-$B$36+$B$37)/$B$41</f>
        <v>279.00514747357602</v>
      </c>
    </row>
    <row r="71" spans="1:7" ht="15" customHeight="1" x14ac:dyDescent="0.25">
      <c r="A71" s="32">
        <v>0.11</v>
      </c>
      <c r="B71" s="33">
        <f>($B$12+(Assumptions!$I$12*B$76)/(1+$A71)^4.5-$B$35-$B$36+$B$37)/$B$41</f>
        <v>165.82690053085889</v>
      </c>
      <c r="C71" s="33">
        <f>($B$12+(Assumptions!$I$12*C$76)/(1+$A71)^4.5-$B$35-$B$36+$B$37)/$B$41</f>
        <v>192.60981950868336</v>
      </c>
      <c r="D71" s="33">
        <f>($B$12+(Assumptions!$I$12*D$76)/(1+$A71)^4.5-$B$35-$B$36+$B$37)/$B$41</f>
        <v>219.39273848650785</v>
      </c>
      <c r="E71" s="33">
        <f>($B$12+(Assumptions!$I$12*E$76)/(1+$A71)^4.5-$B$35-$B$36+$B$37)/$B$41</f>
        <v>246.17565746433232</v>
      </c>
      <c r="F71" s="33">
        <f>($B$12+(Assumptions!$I$12*F$76)/(1+$A71)^4.5-$B$35-$B$36+$B$37)/$B$41</f>
        <v>272.95857644215681</v>
      </c>
    </row>
    <row r="72" spans="1:7" ht="15" customHeight="1" x14ac:dyDescent="0.25">
      <c r="A72" s="32">
        <v>0.115</v>
      </c>
      <c r="B72" s="33">
        <f>($B$12+(Assumptions!$I$12*B$76)/(1+$A72)^4.5-$B$35-$B$36+$B$37)/$B$41</f>
        <v>162.07324142050771</v>
      </c>
      <c r="C72" s="33">
        <f>($B$12+(Assumptions!$I$12*C$76)/(1+$A72)^4.5-$B$35-$B$36+$B$37)/$B$41</f>
        <v>188.31992338256774</v>
      </c>
      <c r="D72" s="33">
        <f>($B$12+(Assumptions!$I$12*D$76)/(1+$A72)^4.5-$B$35-$B$36+$B$37)/$B$41</f>
        <v>214.56660534462776</v>
      </c>
      <c r="E72" s="33">
        <f>($B$12+(Assumptions!$I$12*E$76)/(1+$A72)^4.5-$B$35-$B$36+$B$37)/$B$41</f>
        <v>240.81328730668778</v>
      </c>
      <c r="F72" s="33">
        <f>($B$12+(Assumptions!$I$12*F$76)/(1+$A72)^4.5-$B$35-$B$36+$B$37)/$B$41</f>
        <v>267.05996926874781</v>
      </c>
    </row>
    <row r="73" spans="1:7" ht="15" customHeight="1" x14ac:dyDescent="0.25">
      <c r="A73" s="32">
        <v>0.12</v>
      </c>
      <c r="B73" s="33">
        <f>($B$12+(Assumptions!$I$12*B$76)/(1+$A73)^4.5-$B$35-$B$36+$B$37)/$B$41</f>
        <v>158.41103014032581</v>
      </c>
      <c r="C73" s="33">
        <f>($B$12+(Assumptions!$I$12*C$76)/(1+$A73)^4.5-$B$35-$B$36+$B$37)/$B$41</f>
        <v>184.13453906235989</v>
      </c>
      <c r="D73" s="33">
        <f>($B$12+(Assumptions!$I$12*D$76)/(1+$A73)^4.5-$B$35-$B$36+$B$37)/$B$41</f>
        <v>209.85804798439392</v>
      </c>
      <c r="E73" s="33">
        <f>($B$12+(Assumptions!$I$12*E$76)/(1+$A73)^4.5-$B$35-$B$36+$B$37)/$B$41</f>
        <v>235.58155690642792</v>
      </c>
      <c r="F73" s="33">
        <f>($B$12+(Assumptions!$I$12*F$76)/(1+$A73)^4.5-$B$35-$B$36+$B$37)/$B$41</f>
        <v>261.30506582846198</v>
      </c>
    </row>
    <row r="74" spans="1:7" ht="15" customHeight="1" x14ac:dyDescent="0.25">
      <c r="A74" s="32">
        <v>0.125</v>
      </c>
      <c r="B74" s="33">
        <f>($B$12+(Assumptions!$I$12*B$76)/(1+$A74)^4.5-$B$35-$B$36+$B$37)/$B$41</f>
        <v>154.83764536621402</v>
      </c>
      <c r="C74" s="33">
        <f>($B$12+(Assumptions!$I$12*C$76)/(1+$A74)^4.5-$B$35-$B$36+$B$37)/$B$41</f>
        <v>180.05067074908925</v>
      </c>
      <c r="D74" s="33">
        <f>($B$12+(Assumptions!$I$12*D$76)/(1+$A74)^4.5-$B$35-$B$36+$B$37)/$B$41</f>
        <v>205.26369613196445</v>
      </c>
      <c r="E74" s="33">
        <f>($B$12+(Assumptions!$I$12*E$76)/(1+$A74)^4.5-$B$35-$B$36+$B$37)/$B$41</f>
        <v>230.47672151483965</v>
      </c>
      <c r="F74" s="33">
        <f>($B$12+(Assumptions!$I$12*F$76)/(1+$A74)^4.5-$B$35-$B$36+$B$37)/$B$41</f>
        <v>255.68974689771485</v>
      </c>
    </row>
    <row r="75" spans="1:7" ht="15" customHeight="1" x14ac:dyDescent="0.25">
      <c r="A75" s="32">
        <v>0.13</v>
      </c>
      <c r="B75" s="33">
        <f>($B$12+(Assumptions!$I$12*B$76)/(1+$A75)^4.5-$B$35-$B$36+$B$37)/$B$41</f>
        <v>151.350552092296</v>
      </c>
      <c r="C75" s="33">
        <f>($B$12+(Assumptions!$I$12*C$76)/(1+$A75)^4.5-$B$35-$B$36+$B$37)/$B$41</f>
        <v>176.06542129318294</v>
      </c>
      <c r="D75" s="33">
        <f>($B$12+(Assumptions!$I$12*D$76)/(1+$A75)^4.5-$B$35-$B$36+$B$37)/$B$41</f>
        <v>200.78029049406982</v>
      </c>
      <c r="E75" s="33">
        <f>($B$12+(Assumptions!$I$12*E$76)/(1+$A75)^4.5-$B$35-$B$36+$B$37)/$B$41</f>
        <v>225.49515969495675</v>
      </c>
      <c r="F75" s="33">
        <f>($B$12+(Assumptions!$I$12*F$76)/(1+$A75)^4.5-$B$35-$B$36+$B$37)/$B$41</f>
        <v>250.21002889584369</v>
      </c>
    </row>
    <row r="76" spans="1:7" ht="15" customHeight="1" x14ac:dyDescent="0.25">
      <c r="A76" s="9" t="s">
        <v>126</v>
      </c>
      <c r="B76" s="35">
        <v>14</v>
      </c>
      <c r="C76" s="35">
        <v>16</v>
      </c>
      <c r="D76" s="35">
        <v>18</v>
      </c>
      <c r="E76" s="35">
        <v>20</v>
      </c>
      <c r="F76" s="35">
        <v>22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F53"/>
  <sheetViews>
    <sheetView zoomScaleNormal="100" workbookViewId="0"/>
  </sheetViews>
  <sheetFormatPr defaultColWidth="8.7109375" defaultRowHeight="15" x14ac:dyDescent="0.25"/>
  <cols>
    <col min="1" max="1" width="42" customWidth="1"/>
    <col min="2" max="4" width="18" customWidth="1"/>
    <col min="5" max="5" width="16" customWidth="1"/>
    <col min="6" max="6" width="32" customWidth="1"/>
  </cols>
  <sheetData>
    <row r="1" spans="1:6" ht="18" x14ac:dyDescent="0.25">
      <c r="A1" s="1" t="s">
        <v>0</v>
      </c>
    </row>
    <row r="2" spans="1:6" x14ac:dyDescent="0.25">
      <c r="A2" s="2" t="s">
        <v>127</v>
      </c>
    </row>
    <row r="3" spans="1:6" x14ac:dyDescent="0.25">
      <c r="A3" s="9" t="s">
        <v>128</v>
      </c>
    </row>
    <row r="5" spans="1:6" x14ac:dyDescent="0.25">
      <c r="A5" s="5" t="s">
        <v>129</v>
      </c>
    </row>
    <row r="6" spans="1:6" x14ac:dyDescent="0.25">
      <c r="A6" s="4" t="s">
        <v>130</v>
      </c>
      <c r="B6" s="4" t="s">
        <v>131</v>
      </c>
      <c r="C6" s="4" t="s">
        <v>132</v>
      </c>
      <c r="D6" s="4" t="s">
        <v>133</v>
      </c>
      <c r="E6" s="4"/>
      <c r="F6" s="4"/>
    </row>
    <row r="7" spans="1:6" x14ac:dyDescent="0.25">
      <c r="A7" s="10" t="s">
        <v>39</v>
      </c>
      <c r="B7" s="14">
        <v>1.65</v>
      </c>
      <c r="C7" s="14">
        <v>1.4</v>
      </c>
      <c r="D7" s="14">
        <v>1.2</v>
      </c>
    </row>
    <row r="8" spans="1:6" x14ac:dyDescent="0.25">
      <c r="A8" s="10" t="s">
        <v>43</v>
      </c>
      <c r="B8" s="12">
        <v>0.13375000000000001</v>
      </c>
      <c r="C8" s="12">
        <v>0.12</v>
      </c>
      <c r="D8" s="12">
        <v>0.109</v>
      </c>
    </row>
    <row r="9" spans="1:6" x14ac:dyDescent="0.25">
      <c r="A9" s="10" t="s">
        <v>59</v>
      </c>
      <c r="B9" s="12">
        <v>0.11659601</v>
      </c>
      <c r="C9" s="12">
        <v>0.105270135</v>
      </c>
      <c r="D9" s="12">
        <v>9.6209434999999996E-2</v>
      </c>
    </row>
    <row r="10" spans="1:6" x14ac:dyDescent="0.25">
      <c r="A10" s="10" t="s">
        <v>62</v>
      </c>
      <c r="B10" s="12">
        <v>0.02</v>
      </c>
      <c r="C10" s="12">
        <v>2.5000000000000001E-2</v>
      </c>
      <c r="D10" s="12">
        <v>0.03</v>
      </c>
    </row>
    <row r="11" spans="1:6" x14ac:dyDescent="0.25">
      <c r="A11" s="10" t="s">
        <v>64</v>
      </c>
      <c r="B11" s="17">
        <v>16</v>
      </c>
      <c r="C11" s="17">
        <v>18</v>
      </c>
      <c r="D11" s="17">
        <v>20</v>
      </c>
    </row>
    <row r="13" spans="1:6" x14ac:dyDescent="0.25">
      <c r="A13" s="4" t="s">
        <v>134</v>
      </c>
      <c r="B13" s="4" t="s">
        <v>131</v>
      </c>
      <c r="C13" s="4" t="s">
        <v>132</v>
      </c>
      <c r="D13" s="4" t="s">
        <v>133</v>
      </c>
      <c r="E13" s="4"/>
      <c r="F13" s="4"/>
    </row>
    <row r="14" spans="1:6" x14ac:dyDescent="0.25">
      <c r="A14" s="6" t="s">
        <v>135</v>
      </c>
      <c r="B14" s="36">
        <v>47.876355329888099</v>
      </c>
      <c r="C14" s="36">
        <v>67.042020648832306</v>
      </c>
      <c r="D14" s="36">
        <v>90.922199981280997</v>
      </c>
    </row>
    <row r="15" spans="1:6" x14ac:dyDescent="0.25">
      <c r="A15" s="6" t="s">
        <v>136</v>
      </c>
      <c r="B15" s="37">
        <v>186.44623779062599</v>
      </c>
      <c r="C15" s="37">
        <v>224.069682839563</v>
      </c>
      <c r="D15" s="37">
        <v>262.11726950434399</v>
      </c>
    </row>
    <row r="16" spans="1:6" x14ac:dyDescent="0.25">
      <c r="A16" s="6" t="s">
        <v>137</v>
      </c>
      <c r="B16" s="38">
        <v>117.161296560257</v>
      </c>
      <c r="C16" s="38">
        <v>145.55585174419801</v>
      </c>
      <c r="D16" s="39">
        <v>176.519734742813</v>
      </c>
    </row>
    <row r="18" spans="1:6" x14ac:dyDescent="0.25">
      <c r="A18" s="5" t="s">
        <v>138</v>
      </c>
    </row>
    <row r="19" spans="1:6" x14ac:dyDescent="0.25">
      <c r="A19" s="4" t="s">
        <v>139</v>
      </c>
      <c r="B19" s="4" t="s">
        <v>140</v>
      </c>
      <c r="C19" s="4" t="s">
        <v>141</v>
      </c>
      <c r="D19" s="4" t="s">
        <v>142</v>
      </c>
      <c r="E19" s="4" t="s">
        <v>143</v>
      </c>
      <c r="F19" s="4" t="s">
        <v>144</v>
      </c>
    </row>
    <row r="20" spans="1:6" x14ac:dyDescent="0.25">
      <c r="A20" s="10" t="s">
        <v>145</v>
      </c>
      <c r="B20" s="40">
        <v>59.1852090592335</v>
      </c>
      <c r="C20" s="40">
        <v>72.184982578397197</v>
      </c>
      <c r="D20" s="40">
        <v>156.18351916376301</v>
      </c>
      <c r="E20" s="40">
        <v>94.784588850174202</v>
      </c>
      <c r="F20" s="9" t="s">
        <v>146</v>
      </c>
    </row>
    <row r="21" spans="1:6" x14ac:dyDescent="0.25">
      <c r="A21" s="10" t="s">
        <v>147</v>
      </c>
      <c r="B21" s="40">
        <v>87.784599303135906</v>
      </c>
      <c r="C21" s="40">
        <v>116.872404181185</v>
      </c>
      <c r="D21" s="40">
        <v>182.112195121951</v>
      </c>
      <c r="E21" s="40">
        <v>146.62507317073201</v>
      </c>
      <c r="F21" s="9" t="s">
        <v>148</v>
      </c>
    </row>
    <row r="22" spans="1:6" x14ac:dyDescent="0.25">
      <c r="A22" s="10" t="s">
        <v>149</v>
      </c>
      <c r="B22" s="40">
        <v>66.568292682926796</v>
      </c>
      <c r="C22" s="40">
        <v>91.556097560975601</v>
      </c>
      <c r="D22" s="40">
        <v>157.000348432056</v>
      </c>
      <c r="E22" s="40">
        <v>101.075261324042</v>
      </c>
      <c r="F22" s="9" t="s">
        <v>150</v>
      </c>
    </row>
    <row r="23" spans="1:6" x14ac:dyDescent="0.25">
      <c r="A23" s="10" t="s">
        <v>151</v>
      </c>
      <c r="B23" s="40">
        <v>80.438309233449502</v>
      </c>
      <c r="C23" s="40">
        <v>137.29448954703801</v>
      </c>
      <c r="D23" s="40">
        <v>220.353952961673</v>
      </c>
      <c r="E23" s="40">
        <v>148.66572560975601</v>
      </c>
      <c r="F23" s="9" t="s">
        <v>152</v>
      </c>
    </row>
    <row r="24" spans="1:6" x14ac:dyDescent="0.25">
      <c r="A24" s="6" t="s">
        <v>153</v>
      </c>
      <c r="B24" s="29">
        <f>B21</f>
        <v>87.784599303135906</v>
      </c>
      <c r="C24" s="29">
        <f>C21</f>
        <v>116.872404181185</v>
      </c>
      <c r="D24" s="29">
        <f>D21</f>
        <v>182.112195121951</v>
      </c>
    </row>
    <row r="26" spans="1:6" x14ac:dyDescent="0.25">
      <c r="A26" s="5" t="s">
        <v>154</v>
      </c>
    </row>
    <row r="27" spans="1:6" x14ac:dyDescent="0.25">
      <c r="A27" s="10" t="s">
        <v>155</v>
      </c>
      <c r="B27" s="30">
        <v>118.86</v>
      </c>
      <c r="C27" s="40">
        <f>(B27+D27)/2</f>
        <v>232.29000000000002</v>
      </c>
      <c r="D27" s="30">
        <v>345.72</v>
      </c>
    </row>
    <row r="28" spans="1:6" x14ac:dyDescent="0.25">
      <c r="A28" s="10" t="s">
        <v>156</v>
      </c>
      <c r="B28" s="30">
        <v>155</v>
      </c>
      <c r="C28" s="30">
        <v>228.5</v>
      </c>
      <c r="D28" s="30">
        <v>400</v>
      </c>
    </row>
    <row r="30" spans="1:6" x14ac:dyDescent="0.25">
      <c r="A30" s="5" t="s">
        <v>157</v>
      </c>
    </row>
    <row r="31" spans="1:6" x14ac:dyDescent="0.25">
      <c r="A31" s="4" t="s">
        <v>139</v>
      </c>
      <c r="B31" s="4" t="s">
        <v>158</v>
      </c>
      <c r="C31" s="4" t="s">
        <v>159</v>
      </c>
      <c r="D31" s="4" t="s">
        <v>160</v>
      </c>
      <c r="E31" s="4" t="s">
        <v>161</v>
      </c>
      <c r="F31" s="4" t="s">
        <v>162</v>
      </c>
    </row>
    <row r="32" spans="1:6" ht="24" x14ac:dyDescent="0.25">
      <c r="A32" s="10" t="s">
        <v>163</v>
      </c>
      <c r="B32" s="40">
        <v>47.876355329888099</v>
      </c>
      <c r="C32" s="40">
        <v>67.042020648832306</v>
      </c>
      <c r="D32" s="40">
        <v>90.922199981280997</v>
      </c>
      <c r="E32" s="12">
        <v>0.15</v>
      </c>
      <c r="F32" s="41" t="s">
        <v>164</v>
      </c>
    </row>
    <row r="33" spans="1:6" ht="24" x14ac:dyDescent="0.25">
      <c r="A33" s="10" t="s">
        <v>165</v>
      </c>
      <c r="B33" s="40">
        <v>186.44623779062599</v>
      </c>
      <c r="C33" s="40">
        <v>224.069682839563</v>
      </c>
      <c r="D33" s="40">
        <v>262.11726950434399</v>
      </c>
      <c r="E33" s="12">
        <v>0.35</v>
      </c>
      <c r="F33" s="41" t="s">
        <v>166</v>
      </c>
    </row>
    <row r="34" spans="1:6" x14ac:dyDescent="0.25">
      <c r="A34" s="10" t="s">
        <v>167</v>
      </c>
      <c r="B34" s="42">
        <f>B21</f>
        <v>87.784599303135906</v>
      </c>
      <c r="C34" s="42">
        <f>C21</f>
        <v>116.872404181185</v>
      </c>
      <c r="D34" s="42">
        <f>D21</f>
        <v>182.112195121951</v>
      </c>
      <c r="E34" s="12">
        <v>0.25</v>
      </c>
      <c r="F34" s="41" t="s">
        <v>168</v>
      </c>
    </row>
    <row r="35" spans="1:6" x14ac:dyDescent="0.25">
      <c r="A35" s="10" t="s">
        <v>169</v>
      </c>
      <c r="B35" s="42">
        <f>B23</f>
        <v>80.438309233449502</v>
      </c>
      <c r="C35" s="42">
        <f>C23</f>
        <v>137.29448954703801</v>
      </c>
      <c r="D35" s="42">
        <f>D23</f>
        <v>220.353952961673</v>
      </c>
      <c r="E35" s="12">
        <v>0.1</v>
      </c>
      <c r="F35" s="41" t="s">
        <v>170</v>
      </c>
    </row>
    <row r="36" spans="1:6" x14ac:dyDescent="0.25">
      <c r="A36" s="10" t="s">
        <v>155</v>
      </c>
      <c r="B36" s="42">
        <f t="shared" ref="B36:D37" si="0">B27</f>
        <v>118.86</v>
      </c>
      <c r="C36" s="42">
        <f t="shared" si="0"/>
        <v>232.29000000000002</v>
      </c>
      <c r="D36" s="42">
        <f t="shared" si="0"/>
        <v>345.72</v>
      </c>
      <c r="E36" s="12">
        <v>0.1</v>
      </c>
      <c r="F36" s="41" t="s">
        <v>171</v>
      </c>
    </row>
    <row r="37" spans="1:6" ht="24" x14ac:dyDescent="0.25">
      <c r="A37" s="10" t="s">
        <v>172</v>
      </c>
      <c r="B37" s="42">
        <f t="shared" si="0"/>
        <v>155</v>
      </c>
      <c r="C37" s="42">
        <f t="shared" si="0"/>
        <v>228.5</v>
      </c>
      <c r="D37" s="42">
        <f t="shared" si="0"/>
        <v>400</v>
      </c>
      <c r="E37" s="12">
        <v>0.05</v>
      </c>
      <c r="F37" s="41" t="s">
        <v>173</v>
      </c>
    </row>
    <row r="38" spans="1:6" x14ac:dyDescent="0.25">
      <c r="A38" s="6" t="s">
        <v>174</v>
      </c>
      <c r="B38" s="29">
        <f>SUMPRODUCT(B32:B37,$E$32:$E$37)</f>
        <v>122.06361727533123</v>
      </c>
      <c r="C38" s="29">
        <f>SUMPRODUCT(C32:C37,$E$32:$E$37)</f>
        <v>166.08224209117196</v>
      </c>
      <c r="D38" s="29">
        <f>SUMPRODUCT(D32:D37,$E$32:$E$37)</f>
        <v>227.5148184003676</v>
      </c>
      <c r="E38" s="16">
        <f>SUM(E32:E37)</f>
        <v>1</v>
      </c>
    </row>
    <row r="40" spans="1:6" x14ac:dyDescent="0.25">
      <c r="A40" s="10" t="s">
        <v>106</v>
      </c>
      <c r="B40" s="30">
        <v>155.52000000000001</v>
      </c>
    </row>
    <row r="41" spans="1:6" x14ac:dyDescent="0.25">
      <c r="A41" s="6" t="s">
        <v>175</v>
      </c>
      <c r="B41" s="43">
        <f>B38/B40-1</f>
        <v>-0.21512591772549372</v>
      </c>
    </row>
    <row r="42" spans="1:6" x14ac:dyDescent="0.25">
      <c r="A42" s="6" t="s">
        <v>176</v>
      </c>
      <c r="B42" s="16">
        <f>C38/B40-1</f>
        <v>6.791565130640409E-2</v>
      </c>
    </row>
    <row r="43" spans="1:6" x14ac:dyDescent="0.25">
      <c r="A43" s="6" t="s">
        <v>177</v>
      </c>
      <c r="B43" s="43">
        <f>D38/B40-1</f>
        <v>0.46292964506409207</v>
      </c>
    </row>
    <row r="45" spans="1:6" x14ac:dyDescent="0.25">
      <c r="A45" s="5" t="s">
        <v>178</v>
      </c>
    </row>
    <row r="46" spans="1:6" ht="15.75" x14ac:dyDescent="0.25">
      <c r="A46" s="44" t="s">
        <v>179</v>
      </c>
      <c r="B46" s="45">
        <f>C38</f>
        <v>166.08224209117196</v>
      </c>
    </row>
    <row r="47" spans="1:6" ht="18" x14ac:dyDescent="0.25">
      <c r="A47" s="46" t="s">
        <v>180</v>
      </c>
      <c r="B47" s="47" t="s">
        <v>181</v>
      </c>
    </row>
    <row r="49" spans="1:1" x14ac:dyDescent="0.25">
      <c r="A49" s="6" t="s">
        <v>182</v>
      </c>
    </row>
    <row r="50" spans="1:1" ht="36" x14ac:dyDescent="0.25">
      <c r="A50" s="41" t="s">
        <v>183</v>
      </c>
    </row>
    <row r="51" spans="1:1" ht="36" x14ac:dyDescent="0.25">
      <c r="A51" s="41" t="s">
        <v>184</v>
      </c>
    </row>
    <row r="52" spans="1:1" ht="36" x14ac:dyDescent="0.25">
      <c r="A52" s="41" t="s">
        <v>185</v>
      </c>
    </row>
    <row r="53" spans="1:1" ht="36" x14ac:dyDescent="0.25">
      <c r="A53" s="41" t="s">
        <v>186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Unlevered Free Cash Flow</vt:lpstr>
      <vt:lpstr>DCF Valuation</vt:lpstr>
      <vt:lpstr>Valuation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Zac Lenz</cp:lastModifiedBy>
  <cp:revision>0</cp:revision>
  <dcterms:created xsi:type="dcterms:W3CDTF">2026-03-20T18:07:28Z</dcterms:created>
  <dcterms:modified xsi:type="dcterms:W3CDTF">2026-03-20T21:53:27Z</dcterms:modified>
  <dc:language>en-US</dc:language>
</cp:coreProperties>
</file>