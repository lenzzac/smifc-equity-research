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Lewis\IC '26 - '27\SMIFC - Chicago\data + files\"/>
    </mc:Choice>
  </mc:AlternateContent>
  <xr:revisionPtr revIDLastSave="0" documentId="13_ncr:1_{7EFD620D-37B6-4B22-917C-0E81B87BD4C8}" xr6:coauthVersionLast="47" xr6:coauthVersionMax="47" xr10:uidLastSave="{00000000-0000-0000-0000-000000000000}"/>
  <bookViews>
    <workbookView xWindow="-120" yWindow="-120" windowWidth="38640" windowHeight="21120" tabRatio="500" firstSheet="2" activeTab="8" xr2:uid="{00000000-000D-0000-FFFF-FFFF00000000}"/>
  </bookViews>
  <sheets>
    <sheet name="README" sheetId="1" r:id="rId1"/>
    <sheet name="Market Data" sheetId="2" r:id="rId2"/>
    <sheet name="Financial Data" sheetId="3" r:id="rId3"/>
    <sheet name="Valuation Multiples" sheetId="4" r:id="rId4"/>
    <sheet name="Implied Valuation" sheetId="5" r:id="rId5"/>
    <sheet name="Current Comps (USD)" sheetId="6" r:id="rId6"/>
    <sheet name="Peer Benchmark (S4)" sheetId="7" r:id="rId7"/>
    <sheet name="Normalized &amp; P-B vs ROE" sheetId="8" r:id="rId8"/>
    <sheet name="WACC Buil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9" l="1"/>
  <c r="B27" i="9"/>
  <c r="B26" i="9"/>
  <c r="B23" i="9"/>
  <c r="B22" i="9"/>
  <c r="B21" i="9"/>
  <c r="B20" i="9"/>
  <c r="B19" i="9"/>
  <c r="B16" i="9"/>
  <c r="B14" i="9"/>
  <c r="C42" i="8"/>
  <c r="C41" i="8"/>
  <c r="C40" i="8"/>
  <c r="C39" i="8"/>
  <c r="C38" i="8"/>
  <c r="C37" i="8"/>
  <c r="C36" i="8"/>
  <c r="B30" i="8"/>
  <c r="C30" i="8" s="1"/>
  <c r="D30" i="8" s="1"/>
  <c r="C29" i="8"/>
  <c r="D29" i="8" s="1"/>
  <c r="B29" i="8"/>
  <c r="B28" i="8"/>
  <c r="C28" i="8" s="1"/>
  <c r="D28" i="8" s="1"/>
  <c r="C27" i="8"/>
  <c r="D27" i="8" s="1"/>
  <c r="B27" i="8"/>
  <c r="C26" i="8"/>
  <c r="D26" i="8" s="1"/>
  <c r="B26" i="8"/>
  <c r="B25" i="8"/>
  <c r="C25" i="8" s="1"/>
  <c r="D25" i="8" s="1"/>
  <c r="B24" i="8"/>
  <c r="C24" i="8" s="1"/>
  <c r="D24" i="8" s="1"/>
  <c r="B20" i="8"/>
  <c r="B69" i="5"/>
  <c r="B63" i="5"/>
  <c r="B62" i="5"/>
  <c r="B32" i="5"/>
  <c r="B26" i="5"/>
  <c r="B40" i="4"/>
  <c r="H31" i="4"/>
  <c r="G31" i="4"/>
  <c r="E31" i="4"/>
  <c r="H30" i="4"/>
  <c r="G30" i="4"/>
  <c r="E30" i="4"/>
  <c r="H29" i="4"/>
  <c r="G29" i="4"/>
  <c r="F29" i="4"/>
  <c r="E29" i="4"/>
  <c r="H28" i="4"/>
  <c r="G28" i="4"/>
  <c r="E28" i="4"/>
  <c r="H27" i="4"/>
  <c r="G27" i="4"/>
  <c r="F27" i="4"/>
  <c r="E27" i="4"/>
  <c r="H26" i="4"/>
  <c r="G26" i="4"/>
  <c r="E26" i="4"/>
  <c r="H24" i="4"/>
  <c r="G24" i="4"/>
  <c r="F24" i="4"/>
  <c r="E24" i="4"/>
  <c r="I47" i="3"/>
  <c r="H47" i="3"/>
  <c r="G47" i="3"/>
  <c r="F47" i="3"/>
  <c r="E47" i="3"/>
  <c r="D47" i="3"/>
  <c r="C47" i="3"/>
  <c r="I46" i="3"/>
  <c r="H46" i="3"/>
  <c r="G46" i="3"/>
  <c r="F46" i="3"/>
  <c r="E46" i="3"/>
  <c r="D46" i="3"/>
  <c r="C46" i="3"/>
  <c r="J44" i="3"/>
  <c r="J43" i="3"/>
  <c r="J42" i="3"/>
  <c r="J41" i="3"/>
  <c r="J40" i="3"/>
  <c r="J39" i="3"/>
  <c r="J46" i="3" s="1"/>
  <c r="J37" i="3"/>
  <c r="G37" i="3"/>
  <c r="J32" i="3"/>
  <c r="J33" i="3" s="1"/>
  <c r="I32" i="3"/>
  <c r="I33" i="3" s="1"/>
  <c r="B42" i="4" s="1"/>
  <c r="H32" i="3"/>
  <c r="G32" i="3"/>
  <c r="F32" i="3"/>
  <c r="E32" i="3"/>
  <c r="J31" i="3"/>
  <c r="I31" i="3"/>
  <c r="H31" i="3"/>
  <c r="G31" i="3"/>
  <c r="F31" i="3"/>
  <c r="E31" i="3"/>
  <c r="H29" i="3"/>
  <c r="F31" i="4" s="1"/>
  <c r="H28" i="3"/>
  <c r="F30" i="4" s="1"/>
  <c r="H27" i="3"/>
  <c r="H26" i="3"/>
  <c r="F28" i="4" s="1"/>
  <c r="H25" i="3"/>
  <c r="H24" i="3"/>
  <c r="F26" i="4" s="1"/>
  <c r="H22" i="3"/>
  <c r="L18" i="3"/>
  <c r="K18" i="3"/>
  <c r="J18" i="3"/>
  <c r="H18" i="3"/>
  <c r="G18" i="3"/>
  <c r="F18" i="3"/>
  <c r="D18" i="3"/>
  <c r="C18" i="3"/>
  <c r="L17" i="3"/>
  <c r="K17" i="3"/>
  <c r="J17" i="3"/>
  <c r="H17" i="3"/>
  <c r="F17" i="3"/>
  <c r="D17" i="3"/>
  <c r="C17" i="3"/>
  <c r="L16" i="3"/>
  <c r="K16" i="3"/>
  <c r="J16" i="3"/>
  <c r="H16" i="3"/>
  <c r="G16" i="3"/>
  <c r="F16" i="3"/>
  <c r="D16" i="3"/>
  <c r="C16" i="3"/>
  <c r="L15" i="3"/>
  <c r="K15" i="3"/>
  <c r="J15" i="3"/>
  <c r="H15" i="3"/>
  <c r="F15" i="3"/>
  <c r="D15" i="3"/>
  <c r="C15" i="3"/>
  <c r="N13" i="3"/>
  <c r="M13" i="3"/>
  <c r="I13" i="3"/>
  <c r="G13" i="3"/>
  <c r="E13" i="3"/>
  <c r="M12" i="3"/>
  <c r="I12" i="3"/>
  <c r="I18" i="3" s="1"/>
  <c r="G12" i="3"/>
  <c r="E12" i="3"/>
  <c r="E18" i="3" s="1"/>
  <c r="N11" i="3"/>
  <c r="M11" i="3"/>
  <c r="M17" i="3" s="1"/>
  <c r="I11" i="3"/>
  <c r="G11" i="3"/>
  <c r="E11" i="3"/>
  <c r="N10" i="3"/>
  <c r="M10" i="3"/>
  <c r="I10" i="3"/>
  <c r="G10" i="3"/>
  <c r="E10" i="3"/>
  <c r="N9" i="3"/>
  <c r="M9" i="3"/>
  <c r="I9" i="3"/>
  <c r="G9" i="3"/>
  <c r="E9" i="3"/>
  <c r="M8" i="3"/>
  <c r="I8" i="4" s="1"/>
  <c r="I8" i="3"/>
  <c r="I17" i="3" s="1"/>
  <c r="G8" i="3"/>
  <c r="G17" i="3" s="1"/>
  <c r="E8" i="3"/>
  <c r="E17" i="3" s="1"/>
  <c r="M6" i="3"/>
  <c r="N6" i="3" s="1"/>
  <c r="I6" i="3"/>
  <c r="G6" i="3"/>
  <c r="E6" i="3"/>
  <c r="I20" i="2"/>
  <c r="H20" i="2"/>
  <c r="G20" i="2"/>
  <c r="F20" i="2"/>
  <c r="D20" i="2"/>
  <c r="C20" i="2"/>
  <c r="I19" i="2"/>
  <c r="H19" i="2"/>
  <c r="G19" i="2"/>
  <c r="F19" i="2"/>
  <c r="D19" i="2"/>
  <c r="C19" i="2"/>
  <c r="I18" i="2"/>
  <c r="H18" i="2"/>
  <c r="G18" i="2"/>
  <c r="F18" i="2"/>
  <c r="D18" i="2"/>
  <c r="C18" i="2"/>
  <c r="I17" i="2"/>
  <c r="H17" i="2"/>
  <c r="G17" i="2"/>
  <c r="F17" i="2"/>
  <c r="D17" i="2"/>
  <c r="C17" i="2"/>
  <c r="E15" i="2"/>
  <c r="J15" i="2" s="1"/>
  <c r="E14" i="2"/>
  <c r="H12" i="4" s="1"/>
  <c r="E13" i="2"/>
  <c r="H11" i="4" s="1"/>
  <c r="E12" i="2"/>
  <c r="H10" i="4" s="1"/>
  <c r="E11" i="2"/>
  <c r="G9" i="4" s="1"/>
  <c r="E10" i="2"/>
  <c r="H8" i="4" s="1"/>
  <c r="E8" i="2"/>
  <c r="J8" i="2" s="1"/>
  <c r="I12" i="4" l="1"/>
  <c r="E18" i="2"/>
  <c r="I9" i="4"/>
  <c r="E35" i="4"/>
  <c r="J14" i="2"/>
  <c r="D30" i="4" s="1"/>
  <c r="I13" i="4"/>
  <c r="I10" i="4"/>
  <c r="I17" i="4"/>
  <c r="F35" i="4"/>
  <c r="F34" i="4"/>
  <c r="F37" i="4" s="1"/>
  <c r="F33" i="4"/>
  <c r="F36" i="4"/>
  <c r="C13" i="4"/>
  <c r="D31" i="4"/>
  <c r="C31" i="4"/>
  <c r="F13" i="4"/>
  <c r="E13" i="4"/>
  <c r="D13" i="4"/>
  <c r="E37" i="4"/>
  <c r="D24" i="4"/>
  <c r="C24" i="4"/>
  <c r="F6" i="4"/>
  <c r="E6" i="4"/>
  <c r="D6" i="4"/>
  <c r="C6" i="4"/>
  <c r="H9" i="4"/>
  <c r="E36" i="4"/>
  <c r="G13" i="4"/>
  <c r="H13" i="4"/>
  <c r="H15" i="4" s="1"/>
  <c r="J47" i="3"/>
  <c r="G10" i="4"/>
  <c r="J12" i="2"/>
  <c r="N8" i="3"/>
  <c r="M16" i="3"/>
  <c r="M18" i="3"/>
  <c r="B41" i="4"/>
  <c r="B70" i="5"/>
  <c r="C70" i="5" s="1"/>
  <c r="J11" i="2"/>
  <c r="E19" i="2"/>
  <c r="J13" i="2"/>
  <c r="G6" i="4"/>
  <c r="J10" i="2"/>
  <c r="E15" i="3"/>
  <c r="I6" i="4"/>
  <c r="E33" i="4"/>
  <c r="G15" i="3"/>
  <c r="G11" i="4"/>
  <c r="N12" i="3"/>
  <c r="I16" i="3"/>
  <c r="I15" i="3"/>
  <c r="I11" i="4"/>
  <c r="I16" i="4" s="1"/>
  <c r="E17" i="2"/>
  <c r="E20" i="2"/>
  <c r="G8" i="4"/>
  <c r="C12" i="4"/>
  <c r="E34" i="4"/>
  <c r="D12" i="4"/>
  <c r="E12" i="4"/>
  <c r="M15" i="3"/>
  <c r="F12" i="4"/>
  <c r="G12" i="4"/>
  <c r="C30" i="4"/>
  <c r="E16" i="3"/>
  <c r="H18" i="4" l="1"/>
  <c r="H16" i="4"/>
  <c r="I19" i="4"/>
  <c r="D28" i="4"/>
  <c r="C28" i="4"/>
  <c r="F10" i="4"/>
  <c r="E10" i="4"/>
  <c r="D10" i="4"/>
  <c r="C10" i="4"/>
  <c r="D26" i="4"/>
  <c r="C26" i="4"/>
  <c r="J20" i="2"/>
  <c r="J17" i="2"/>
  <c r="F8" i="4"/>
  <c r="J18" i="2"/>
  <c r="E8" i="4"/>
  <c r="D8" i="4"/>
  <c r="J19" i="2"/>
  <c r="C8" i="4"/>
  <c r="I18" i="4"/>
  <c r="I15" i="4"/>
  <c r="N17" i="3"/>
  <c r="N15" i="3"/>
  <c r="N18" i="3"/>
  <c r="N16" i="3"/>
  <c r="G16" i="4"/>
  <c r="G15" i="4"/>
  <c r="G18" i="4"/>
  <c r="G17" i="4"/>
  <c r="H17" i="4"/>
  <c r="G19" i="4"/>
  <c r="D29" i="4"/>
  <c r="C29" i="4"/>
  <c r="F11" i="4"/>
  <c r="E11" i="4"/>
  <c r="D11" i="4"/>
  <c r="C11" i="4"/>
  <c r="F9" i="4"/>
  <c r="E9" i="4"/>
  <c r="D9" i="4"/>
  <c r="C9" i="4"/>
  <c r="D27" i="4"/>
  <c r="C27" i="4"/>
  <c r="C17" i="4" l="1"/>
  <c r="C16" i="4"/>
  <c r="C19" i="4" s="1"/>
  <c r="E6" i="5"/>
  <c r="D6" i="5"/>
  <c r="C6" i="5"/>
  <c r="B6" i="5"/>
  <c r="C15" i="4"/>
  <c r="C18" i="4"/>
  <c r="D17" i="4"/>
  <c r="D16" i="4"/>
  <c r="D19" i="4" s="1"/>
  <c r="D15" i="4"/>
  <c r="D18" i="4"/>
  <c r="E17" i="4"/>
  <c r="E16" i="4"/>
  <c r="E19" i="4" s="1"/>
  <c r="E7" i="5"/>
  <c r="D7" i="5"/>
  <c r="C7" i="5"/>
  <c r="B7" i="5"/>
  <c r="E15" i="4"/>
  <c r="B16" i="5"/>
  <c r="B24" i="5" s="1"/>
  <c r="B30" i="5" s="1"/>
  <c r="B35" i="5" s="1"/>
  <c r="B15" i="5"/>
  <c r="B23" i="5" s="1"/>
  <c r="B29" i="5" s="1"/>
  <c r="B34" i="5" s="1"/>
  <c r="B14" i="5"/>
  <c r="B22" i="5" s="1"/>
  <c r="B28" i="5" s="1"/>
  <c r="B33" i="5" s="1"/>
  <c r="E18" i="4"/>
  <c r="F17" i="4"/>
  <c r="E8" i="5"/>
  <c r="D8" i="5"/>
  <c r="C8" i="5"/>
  <c r="B8" i="5"/>
  <c r="F16" i="4"/>
  <c r="F19" i="4" s="1"/>
  <c r="F15" i="4"/>
  <c r="F18" i="4"/>
  <c r="D36" i="4"/>
  <c r="D35" i="4"/>
  <c r="D34" i="4"/>
  <c r="D37" i="4" s="1"/>
  <c r="D33" i="4"/>
  <c r="E10" i="5"/>
  <c r="D10" i="5"/>
  <c r="B60" i="5" s="1"/>
  <c r="B67" i="5" s="1"/>
  <c r="C67" i="5" s="1"/>
  <c r="C10" i="5"/>
  <c r="B59" i="5" s="1"/>
  <c r="B66" i="5" s="1"/>
  <c r="C66" i="5" s="1"/>
  <c r="B10" i="5"/>
  <c r="B58" i="5" s="1"/>
  <c r="B65" i="5" s="1"/>
  <c r="C65" i="5" s="1"/>
  <c r="D9" i="5"/>
  <c r="C9" i="5"/>
  <c r="C36" i="4"/>
  <c r="B9" i="5"/>
  <c r="C35" i="4"/>
  <c r="C34" i="4"/>
  <c r="C37" i="4" s="1"/>
  <c r="C33" i="4"/>
  <c r="E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Source: LSEG/Yahoo Finance, 3/19/2026</t>
        </r>
      </text>
    </comment>
    <comment ref="D8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Source: Most recent 10-K/10-Q filing</t>
        </r>
      </text>
    </comment>
    <comment ref="F8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Source: Balance sheet, most recent fiscal year</t>
        </r>
      </text>
    </comment>
    <comment ref="C10" authorId="0" shapeId="0" xr:uid="{00000000-0006-0000-0100-000004000000}">
      <text>
        <r>
          <rPr>
            <sz val="11"/>
            <color theme="1"/>
            <rFont val="Calibri"/>
            <family val="2"/>
            <charset val="1"/>
          </rPr>
          <t>Source: LSEG/Yahoo Finance, 3/19/2026</t>
        </r>
      </text>
    </comment>
    <comment ref="D10" authorId="0" shapeId="0" xr:uid="{00000000-0006-0000-0100-000005000000}">
      <text>
        <r>
          <rPr>
            <sz val="11"/>
            <color theme="1"/>
            <rFont val="Calibri"/>
            <family val="2"/>
            <charset val="1"/>
          </rPr>
          <t>Source: Most recent 10-K/10-Q filing</t>
        </r>
      </text>
    </comment>
    <comment ref="F10" authorId="0" shapeId="0" xr:uid="{00000000-0006-0000-0100-000006000000}">
      <text>
        <r>
          <rPr>
            <sz val="11"/>
            <color theme="1"/>
            <rFont val="Calibri"/>
            <family val="2"/>
            <charset val="1"/>
          </rPr>
          <t>Source: Balance sheet, most recent fiscal year</t>
        </r>
      </text>
    </comment>
    <comment ref="C11" authorId="0" shapeId="0" xr:uid="{00000000-0006-0000-0100-000007000000}">
      <text>
        <r>
          <rPr>
            <sz val="11"/>
            <color theme="1"/>
            <rFont val="Calibri"/>
            <family val="2"/>
            <charset val="1"/>
          </rPr>
          <t>Source: LSEG/Yahoo Finance, 3/19/2026</t>
        </r>
      </text>
    </comment>
    <comment ref="D11" authorId="0" shapeId="0" xr:uid="{00000000-0006-0000-0100-000008000000}">
      <text>
        <r>
          <rPr>
            <sz val="11"/>
            <color theme="1"/>
            <rFont val="Calibri"/>
            <family val="2"/>
            <charset val="1"/>
          </rPr>
          <t>Source: Most recent 10-K/10-Q filing</t>
        </r>
      </text>
    </comment>
    <comment ref="F11" authorId="0" shapeId="0" xr:uid="{00000000-0006-0000-0100-000009000000}">
      <text>
        <r>
          <rPr>
            <sz val="11"/>
            <color theme="1"/>
            <rFont val="Calibri"/>
            <family val="2"/>
            <charset val="1"/>
          </rPr>
          <t>Source: Balance sheet, most recent fiscal year</t>
        </r>
      </text>
    </comment>
    <comment ref="C12" authorId="0" shapeId="0" xr:uid="{00000000-0006-0000-0100-00000A000000}">
      <text>
        <r>
          <rPr>
            <sz val="11"/>
            <color theme="1"/>
            <rFont val="Calibri"/>
            <family val="2"/>
            <charset val="1"/>
          </rPr>
          <t>Source: LSEG/Yahoo Finance, 3/19/2026</t>
        </r>
      </text>
    </comment>
    <comment ref="D12" authorId="0" shapeId="0" xr:uid="{00000000-0006-0000-0100-00000B000000}">
      <text>
        <r>
          <rPr>
            <sz val="11"/>
            <color theme="1"/>
            <rFont val="Calibri"/>
            <family val="2"/>
            <charset val="1"/>
          </rPr>
          <t>Source: Most recent 10-K/10-Q filing</t>
        </r>
      </text>
    </comment>
    <comment ref="F12" authorId="0" shapeId="0" xr:uid="{00000000-0006-0000-0100-00000C000000}">
      <text>
        <r>
          <rPr>
            <sz val="11"/>
            <color theme="1"/>
            <rFont val="Calibri"/>
            <family val="2"/>
            <charset val="1"/>
          </rPr>
          <t>Source: Balance sheet, most recent fiscal year</t>
        </r>
      </text>
    </comment>
    <comment ref="C13" authorId="0" shapeId="0" xr:uid="{00000000-0006-0000-0100-00000D000000}">
      <text>
        <r>
          <rPr>
            <sz val="11"/>
            <color theme="1"/>
            <rFont val="Calibri"/>
            <family val="2"/>
            <charset val="1"/>
          </rPr>
          <t>Source: LSEG/Yahoo Finance, 3/19/2026</t>
        </r>
      </text>
    </comment>
    <comment ref="D13" authorId="0" shapeId="0" xr:uid="{00000000-0006-0000-0100-00000E000000}">
      <text>
        <r>
          <rPr>
            <sz val="11"/>
            <color theme="1"/>
            <rFont val="Calibri"/>
            <family val="2"/>
            <charset val="1"/>
          </rPr>
          <t>Source: Most recent 10-K/10-Q filing</t>
        </r>
      </text>
    </comment>
    <comment ref="F13" authorId="0" shapeId="0" xr:uid="{00000000-0006-0000-0100-00000F000000}">
      <text>
        <r>
          <rPr>
            <sz val="11"/>
            <color theme="1"/>
            <rFont val="Calibri"/>
            <family val="2"/>
            <charset val="1"/>
          </rPr>
          <t>Source: Balance sheet, most recent fiscal year</t>
        </r>
      </text>
    </comment>
    <comment ref="C14" authorId="0" shapeId="0" xr:uid="{00000000-0006-0000-0100-000010000000}">
      <text>
        <r>
          <rPr>
            <sz val="11"/>
            <color theme="1"/>
            <rFont val="Calibri"/>
            <family val="2"/>
            <charset val="1"/>
          </rPr>
          <t>Source: LSEG/Yahoo Finance, 3/19/2026</t>
        </r>
      </text>
    </comment>
    <comment ref="D14" authorId="0" shapeId="0" xr:uid="{00000000-0006-0000-0100-000011000000}">
      <text>
        <r>
          <rPr>
            <sz val="11"/>
            <color theme="1"/>
            <rFont val="Calibri"/>
            <family val="2"/>
            <charset val="1"/>
          </rPr>
          <t>Source: Most recent 10-K/10-Q filing</t>
        </r>
      </text>
    </comment>
    <comment ref="F14" authorId="0" shapeId="0" xr:uid="{00000000-0006-0000-0100-000012000000}">
      <text>
        <r>
          <rPr>
            <sz val="11"/>
            <color theme="1"/>
            <rFont val="Calibri"/>
            <family val="2"/>
            <charset val="1"/>
          </rPr>
          <t>Source: Balance sheet, most recent fiscal year</t>
        </r>
      </text>
    </comment>
    <comment ref="C15" authorId="0" shapeId="0" xr:uid="{00000000-0006-0000-0100-000013000000}">
      <text>
        <r>
          <rPr>
            <sz val="11"/>
            <color theme="1"/>
            <rFont val="Calibri"/>
            <family val="2"/>
            <charset val="1"/>
          </rPr>
          <t>Source: LSEG/Yahoo Finance, 3/19/2026</t>
        </r>
      </text>
    </comment>
    <comment ref="D15" authorId="0" shapeId="0" xr:uid="{00000000-0006-0000-0100-000014000000}">
      <text>
        <r>
          <rPr>
            <sz val="11"/>
            <color theme="1"/>
            <rFont val="Calibri"/>
            <family val="2"/>
            <charset val="1"/>
          </rPr>
          <t>Source: Most recent 10-K/10-Q filing</t>
        </r>
      </text>
    </comment>
    <comment ref="F15" authorId="0" shapeId="0" xr:uid="{00000000-0006-0000-0100-000015000000}">
      <text>
        <r>
          <rPr>
            <sz val="11"/>
            <color theme="1"/>
            <rFont val="Calibri"/>
            <family val="2"/>
            <charset val="1"/>
          </rPr>
          <t>Source: Balance sheet, most recent fiscal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37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NOPAT / Invested Capital</t>
        </r>
      </text>
    </comment>
    <comment ref="H37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Interest Exp: $3,578mm</t>
        </r>
      </text>
    </comment>
    <comment ref="E39" authorId="0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NOPAT / Invested Capital</t>
        </r>
      </text>
    </comment>
    <comment ref="H39" authorId="0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Interest Exp: $2,700mm</t>
        </r>
      </text>
    </comment>
    <comment ref="E40" authorId="0" shapeId="0" xr:uid="{00000000-0006-0000-0200-000005000000}">
      <text>
        <r>
          <rPr>
            <sz val="11"/>
            <color theme="1"/>
            <rFont val="Calibri"/>
            <family val="2"/>
            <charset val="1"/>
          </rPr>
          <t>NOPAT / Invested Capital</t>
        </r>
      </text>
    </comment>
    <comment ref="H40" authorId="0" shapeId="0" xr:uid="{00000000-0006-0000-0200-000006000000}">
      <text>
        <r>
          <rPr>
            <sz val="11"/>
            <color theme="1"/>
            <rFont val="Calibri"/>
            <family val="2"/>
            <charset val="1"/>
          </rPr>
          <t>Interest Exp: $1,036mm</t>
        </r>
      </text>
    </comment>
    <comment ref="E41" authorId="0" shapeId="0" xr:uid="{00000000-0006-0000-0200-000007000000}">
      <text>
        <r>
          <rPr>
            <sz val="11"/>
            <color theme="1"/>
            <rFont val="Calibri"/>
            <family val="2"/>
            <charset val="1"/>
          </rPr>
          <t>NOPAT / Invested Capital</t>
        </r>
      </text>
    </comment>
    <comment ref="H41" authorId="0" shapeId="0" xr:uid="{00000000-0006-0000-0200-000008000000}">
      <text>
        <r>
          <rPr>
            <sz val="11"/>
            <color theme="1"/>
            <rFont val="Calibri"/>
            <family val="2"/>
            <charset val="1"/>
          </rPr>
          <t>Interest Exp: $330mm</t>
        </r>
      </text>
    </comment>
    <comment ref="E42" authorId="0" shapeId="0" xr:uid="{00000000-0006-0000-0200-000009000000}">
      <text>
        <r>
          <rPr>
            <sz val="11"/>
            <color theme="1"/>
            <rFont val="Calibri"/>
            <family val="2"/>
            <charset val="1"/>
          </rPr>
          <t>NOPAT / Invested Capital</t>
        </r>
      </text>
    </comment>
    <comment ref="H42" authorId="0" shapeId="0" xr:uid="{00000000-0006-0000-0200-00000A000000}">
      <text>
        <r>
          <rPr>
            <sz val="11"/>
            <color theme="1"/>
            <rFont val="Calibri"/>
            <family val="2"/>
            <charset val="1"/>
          </rPr>
          <t>Interest Exp: $1,900mm</t>
        </r>
      </text>
    </comment>
    <comment ref="E43" authorId="0" shapeId="0" xr:uid="{00000000-0006-0000-0200-00000B000000}">
      <text>
        <r>
          <rPr>
            <sz val="11"/>
            <color theme="1"/>
            <rFont val="Calibri"/>
            <family val="2"/>
            <charset val="1"/>
          </rPr>
          <t>NOPAT / Invested Capital</t>
        </r>
      </text>
    </comment>
    <comment ref="H43" authorId="0" shapeId="0" xr:uid="{00000000-0006-0000-0200-00000C000000}">
      <text>
        <r>
          <rPr>
            <sz val="11"/>
            <color theme="1"/>
            <rFont val="Calibri"/>
            <family val="2"/>
            <charset val="1"/>
          </rPr>
          <t>Interest Exp: $24mm</t>
        </r>
      </text>
    </comment>
    <comment ref="E44" authorId="0" shapeId="0" xr:uid="{00000000-0006-0000-0200-00000D000000}">
      <text>
        <r>
          <rPr>
            <sz val="11"/>
            <color theme="1"/>
            <rFont val="Calibri"/>
            <family val="2"/>
            <charset val="1"/>
          </rPr>
          <t>NOPAT / Invested Capital</t>
        </r>
      </text>
    </comment>
    <comment ref="H44" authorId="0" shapeId="0" xr:uid="{00000000-0006-0000-0200-00000E000000}">
      <text>
        <r>
          <rPr>
            <sz val="11"/>
            <color theme="1"/>
            <rFont val="Calibri"/>
            <family val="2"/>
            <charset val="1"/>
          </rPr>
          <t>Interest Exp: $263mm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24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Uses current EBITDA margin applied to FY+1 revenue</t>
        </r>
      </text>
    </comment>
    <comment ref="D26" authorId="0" shapeId="0" xr:uid="{00000000-0006-0000-0300-000002000000}">
      <text>
        <r>
          <rPr>
            <sz val="11"/>
            <color theme="1"/>
            <rFont val="Calibri"/>
            <family val="2"/>
            <charset val="1"/>
          </rPr>
          <t>Uses current EBITDA margin applied to FY+1 revenue</t>
        </r>
      </text>
    </comment>
    <comment ref="D27" authorId="0" shapeId="0" xr:uid="{00000000-0006-0000-0300-000003000000}">
      <text>
        <r>
          <rPr>
            <sz val="11"/>
            <color theme="1"/>
            <rFont val="Calibri"/>
            <family val="2"/>
            <charset val="1"/>
          </rPr>
          <t>Uses current EBITDA margin applied to FY+1 revenue</t>
        </r>
      </text>
    </comment>
    <comment ref="D28" authorId="0" shapeId="0" xr:uid="{00000000-0006-0000-0300-000004000000}">
      <text>
        <r>
          <rPr>
            <sz val="11"/>
            <color theme="1"/>
            <rFont val="Calibri"/>
            <family val="2"/>
            <charset val="1"/>
          </rPr>
          <t>Uses current EBITDA margin applied to FY+1 revenue</t>
        </r>
      </text>
    </comment>
    <comment ref="D29" authorId="0" shapeId="0" xr:uid="{00000000-0006-0000-0300-000005000000}">
      <text>
        <r>
          <rPr>
            <sz val="11"/>
            <color theme="1"/>
            <rFont val="Calibri"/>
            <family val="2"/>
            <charset val="1"/>
          </rPr>
          <t>Uses current EBITDA margin applied to FY+1 revenue</t>
        </r>
      </text>
    </comment>
    <comment ref="D30" authorId="0" shapeId="0" xr:uid="{00000000-0006-0000-0300-000006000000}">
      <text>
        <r>
          <rPr>
            <sz val="11"/>
            <color theme="1"/>
            <rFont val="Calibri"/>
            <family val="2"/>
            <charset val="1"/>
          </rPr>
          <t>Uses current EBITDA margin applied to FY+1 revenue</t>
        </r>
      </text>
    </comment>
    <comment ref="D31" authorId="0" shapeId="0" xr:uid="{00000000-0006-0000-0300-000007000000}">
      <text>
        <r>
          <rPr>
            <sz val="11"/>
            <color theme="1"/>
            <rFont val="Calibri"/>
            <family val="2"/>
            <charset val="1"/>
          </rPr>
          <t>Uses current EBITDA margin applied to FY+1 revenue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4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Select from implied EV range above</t>
        </r>
      </text>
    </comment>
    <comment ref="B18" authorId="0" shapeId="0" xr:uid="{00000000-0006-0000-0400-000002000000}">
      <text>
        <r>
          <rPr>
            <sz val="11"/>
            <color theme="1"/>
            <rFont val="Calibri"/>
            <family val="2"/>
            <charset val="1"/>
          </rPr>
          <t>Linked from Market Data tab</t>
        </r>
      </text>
    </comment>
  </commentList>
</comments>
</file>

<file path=xl/sharedStrings.xml><?xml version="1.0" encoding="utf-8"?>
<sst xmlns="http://schemas.openxmlformats.org/spreadsheetml/2006/main" count="538" uniqueCount="361">
  <si>
    <t>MU comparable companies workbook — contents and status</t>
  </si>
  <si>
    <t>Sheet</t>
  </si>
  <si>
    <t>Contents</t>
  </si>
  <si>
    <t>Status</t>
  </si>
  <si>
    <t>Market Data</t>
  </si>
  <si>
    <t>EV bridge. Prices USD as of 15 Sep 2026 (LSEG converted). Local-currency entries retained in cols O/P.</t>
  </si>
  <si>
    <t>COMPLETE</t>
  </si>
  <si>
    <t>Financial Data</t>
  </si>
  <si>
    <t>LTM fundamentals USD + growth/profitability benchmarks.</t>
  </si>
  <si>
    <t>Valuation Multiples</t>
  </si>
  <si>
    <t>LTM multiples from Market Data and Financial Data. NTM suppressed.</t>
  </si>
  <si>
    <t>LTM COMPLETE</t>
  </si>
  <si>
    <t>Implied Valuation</t>
  </si>
  <si>
    <t>Implied EV → equity → per share on peer LTM EV/EBITDA. Peer tiers, betas, fiscal year ends.</t>
  </si>
  <si>
    <t>COMPLETE (LTM)</t>
  </si>
  <si>
    <t>Current Comps (USD)</t>
  </si>
  <si>
    <t>Hard-coded current multiples and the sector return comparison. The version used in §5.7.</t>
  </si>
  <si>
    <t>Peer Benchmark (S4)</t>
  </si>
  <si>
    <t>Operating and balance-sheet benchmarks. Needs no prices. Used in §4.</t>
  </si>
  <si>
    <t>Normalized &amp; P-B vs ROE</t>
  </si>
  <si>
    <t>MU 7-yr multiple history, P/B vs ROE, and the forward-book reconciliation.</t>
  </si>
  <si>
    <t>WACC Build</t>
  </si>
  <si>
    <t>Constructed WACC 14.1% on Blume beta 1.84. Sensitivity by beta treatment.</t>
  </si>
  <si>
    <t>Companion file: MU_DCF_Model.xlsx — scenario DCF, reverse DCF, sensitivity. Verified to reconcile with the notebook.</t>
  </si>
  <si>
    <t>Micron Technology, Inc. (NASDAQ: MU)</t>
  </si>
  <si>
    <t>Trading Comparable Companies Analysis</t>
  </si>
  <si>
    <t>Market data as of 15 September 2026. ALL PRICES IN USD.</t>
  </si>
  <si>
    <t>Peer prices are LSEG’s own USD-converted series from the price-history exports — no FX assumption applied by us.</t>
  </si>
  <si>
    <t>Market Data &amp; Enterprise Value Build</t>
  </si>
  <si>
    <t>Ticker</t>
  </si>
  <si>
    <t>Share Price ($)</t>
  </si>
  <si>
    <t>Diluted Shares (mm)</t>
  </si>
  <si>
    <t>Market Cap ($mm)</t>
  </si>
  <si>
    <t>Total Debt ($mm)</t>
  </si>
  <si>
    <t>Cash &amp; Equiv. ($mm)</t>
  </si>
  <si>
    <t>Minority Int. ($mm)</t>
  </si>
  <si>
    <t>Preferred Eq. ($mm)</t>
  </si>
  <si>
    <t>Enterprise Value ($mm)</t>
  </si>
  <si>
    <t>Source Notes</t>
  </si>
  <si>
    <t>Beta (5y monthly vs S&amp;P 500)</t>
  </si>
  <si>
    <t>As entered (local ccy)</t>
  </si>
  <si>
    <t>Implied FX</t>
  </si>
  <si>
    <t>Micron Technology, Inc.</t>
  </si>
  <si>
    <t>MU</t>
  </si>
  <si>
    <t>SK hynix Inc.</t>
  </si>
  <si>
    <t>000660.KS</t>
  </si>
  <si>
    <t>KRW -&gt; USD @ 1,340.30; FY end 2025-12-31</t>
  </si>
  <si>
    <t>Samsung Electronics Co.</t>
  </si>
  <si>
    <t>005930.KS</t>
  </si>
  <si>
    <t>Kioxia Holdings Corp.</t>
  </si>
  <si>
    <t>285A.T</t>
  </si>
  <si>
    <t>JPY -&gt; USD @ 153.71; FY end 2026-03-31</t>
  </si>
  <si>
    <t>SanDisk Corporation</t>
  </si>
  <si>
    <t>SNDK</t>
  </si>
  <si>
    <t>USD -&gt; USD @ 1.00; FY end 2026-07-03</t>
  </si>
  <si>
    <t>Nanya Technology Corp.</t>
  </si>
  <si>
    <t>2408.TW</t>
  </si>
  <si>
    <t>TWD -&gt; USD @ 31.64; FY end 2025-12-31</t>
  </si>
  <si>
    <t>Western Digital Corp.</t>
  </si>
  <si>
    <t>WDC</t>
  </si>
  <si>
    <t>Peer Mean</t>
  </si>
  <si>
    <t>Peer Median</t>
  </si>
  <si>
    <t>Peer High</t>
  </si>
  <si>
    <t>Peer Low</t>
  </si>
  <si>
    <t>Reporting currency / FX note</t>
  </si>
  <si>
    <t>Peers report in KRW (SK hynix, Samsung), JPY (Kioxia), TWD (Nanya). Enter USD-converted figures and record the FX rate and date used below.</t>
  </si>
  <si>
    <t>FX rates used (state date):</t>
  </si>
  <si>
    <t>CORRECTED 16 Sep: prices had been entered in local currency (KRW/JPY/TWD), which would have produced</t>
  </si>
  <si>
    <t>local-currency market caps against USD debt and cash. Implied FX in column P reconciles to spot within 0.5%,</t>
  </si>
  <si>
    <t>which independently validates both the entries and LSEG’s conversion. Columns O and P retain the originals.</t>
  </si>
  <si>
    <t>multiple in this workbook meaningless. Pull current prices for all seven names on ONE date.</t>
  </si>
  <si>
    <t>Latest reported fiscal year per company, converted to USD $mm. Period-end dates differ - see notes column.</t>
  </si>
  <si>
    <t>Revenue</t>
  </si>
  <si>
    <t>Gross Profit</t>
  </si>
  <si>
    <t>Gross Margin</t>
  </si>
  <si>
    <t>EBITDA</t>
  </si>
  <si>
    <t>EBITDA Margin</t>
  </si>
  <si>
    <t>EBIT</t>
  </si>
  <si>
    <t>EBIT Margin</t>
  </si>
  <si>
    <t>Net Income</t>
  </si>
  <si>
    <t>Oper. Cash Flow</t>
  </si>
  <si>
    <t>CapEx</t>
  </si>
  <si>
    <t>Free Cash Flow</t>
  </si>
  <si>
    <t>FCF Margin</t>
  </si>
  <si>
    <t>Source</t>
  </si>
  <si>
    <t>FY end 2025-12-31 | KRW</t>
  </si>
  <si>
    <t>FY end 2026-03-31 | JPY</t>
  </si>
  <si>
    <t>FY end 2026-07-03 | USD</t>
  </si>
  <si>
    <t>FY end 2025-12-31 | TWD</t>
  </si>
  <si>
    <t>Forward Consensus Estimates (LSEG I/B/E/S) — calendarised to a common NTM window</t>
  </si>
  <si>
    <t>Company</t>
  </si>
  <si>
    <t>Consensus FY used</t>
  </si>
  <si>
    <t>FY midpoint offset (mo)</t>
  </si>
  <si>
    <t>NTM Revenue ($mm)</t>
  </si>
  <si>
    <t>NTM EBITDA ($mm)</t>
  </si>
  <si>
    <t>NTM EPS ($)</t>
  </si>
  <si>
    <t>NTM EBITDA margin</t>
  </si>
  <si>
    <t>Nearest-FY EV/EBITDA</t>
  </si>
  <si>
    <t>Interpolated EV/EBITDA</t>
  </si>
  <si>
    <t>FY Aug-27</t>
  </si>
  <si>
    <t>FY Dec-27</t>
  </si>
  <si>
    <t>FY Mar-27</t>
  </si>
  <si>
    <t>FY Jun-27</t>
  </si>
  <si>
    <t>Micron premium / (discount) to peer median</t>
  </si>
  <si>
    <t>Growth &amp; Profitability Benchmarking</t>
  </si>
  <si>
    <t>3-Yr Rev CAGR</t>
  </si>
  <si>
    <t>3-Yr EBITDA CAGR</t>
  </si>
  <si>
    <t>ROIC</t>
  </si>
  <si>
    <t>ROA</t>
  </si>
  <si>
    <t>Net Debt/EBITDA</t>
  </si>
  <si>
    <t>Interest cov.</t>
  </si>
  <si>
    <t>Employees</t>
  </si>
  <si>
    <t>Rev/Employee ($K)</t>
  </si>
  <si>
    <t>Forward-estimate methodology note</t>
  </si>
  <si>
    <t>Method. LSEG I/B/E/S mean estimates, pulled 16 Sep 2026 for all seven names on one date. Foreign-currency estimates converted at 16 Sep spot</t>
  </si>
  <si>
    <t>(KRW 1,340.30 / JPY 153.71 / TWD 31.64) and scale-calibrated against each company's last reported actual revenue so that units reconcile.</t>
  </si>
  <si>
    <t>Calendarisation. Fiscal years end in five different months across this set. Column E–G interpolate each company's consensus linearly between the</t>
  </si>
  <si>
    <t>midpoints of its bracketing forecast fiscal years to a common reference midpoint of 15 March 2027 — the midpoint of the twelve months from the</t>
  </si>
  <si>
    <t>15 September 2026 market-data date. Column I shows the unadjusted nearest-fiscal-year multiple and column J the interpolated one; the two agree</t>
  </si>
  <si>
    <t>to within one percentage point of relative premium, which is the evidence that the conclusion is not an artefact of the fiscal-year mismatch.</t>
  </si>
  <si>
    <t>EPS is per share as reported and is not rescaled; revenue and EBITDA are in USD $mm.</t>
  </si>
  <si>
    <t>Last Twelve Months Valuation Multiples</t>
  </si>
  <si>
    <t>EV / Rev</t>
  </si>
  <si>
    <t>EV / GP</t>
  </si>
  <si>
    <t>EV / EBITDA</t>
  </si>
  <si>
    <t>EV / EBIT</t>
  </si>
  <si>
    <t>P / E</t>
  </si>
  <si>
    <t>P / FCF</t>
  </si>
  <si>
    <t>FCF Yield</t>
  </si>
  <si>
    <t>N/M</t>
  </si>
  <si>
    <t>Micron Premium / (Discount) to Peer Median</t>
  </si>
  <si>
    <t>Forward multiples below are calendarised to a common NTM window (midpoint 15 March 2027). See the methodology note on “Financial Data”.</t>
  </si>
  <si>
    <t>Forward (Next Twelve Months) Valuation Multiples — calendarised</t>
  </si>
  <si>
    <t>NTM EV / Rev</t>
  </si>
  <si>
    <t>NTM EV / EBITDA</t>
  </si>
  <si>
    <t>NTM P / E</t>
  </si>
  <si>
    <t>Offset (mo)</t>
  </si>
  <si>
    <t>Cross-check on the unadjusted (nearest-fiscal-year) basis, no interpolation:</t>
  </si>
  <si>
    <t>NTM EV/EBITDA — Micron</t>
  </si>
  <si>
    <t>NTM EV/EBITDA — peer median</t>
  </si>
  <si>
    <t>Premium / (discount)</t>
  </si>
  <si>
    <t>The interpolated and unadjusted bases agree to within one point of relative premium, so the result is not a fiscal-year artefact.</t>
  </si>
  <si>
    <t>Comparable Companies Implied Valuation</t>
  </si>
  <si>
    <t>Implied Enterprise Value from Peer Multiples ($mm)</t>
  </si>
  <si>
    <t>Methodology</t>
  </si>
  <si>
    <t>Low (25th Pctl)</t>
  </si>
  <si>
    <t>Median</t>
  </si>
  <si>
    <t>High (75th Pctl)</t>
  </si>
  <si>
    <t>Mean</t>
  </si>
  <si>
    <t>Notes</t>
  </si>
  <si>
    <t>LTM EV / Revenue</t>
  </si>
  <si>
    <t>LTM EV / EBITDA</t>
  </si>
  <si>
    <t>LTM EV / EBIT</t>
  </si>
  <si>
    <t>NTM EV / Revenue (calendarised)</t>
  </si>
  <si>
    <t>Peer multiple applied to Micron NTM revenue</t>
  </si>
  <si>
    <t>NTM EV / EBITDA (calendarised)</t>
  </si>
  <si>
    <t>Primary forward cross-check on the DCF</t>
  </si>
  <si>
    <t>Enterprise Value to Equity Value Bridge</t>
  </si>
  <si>
    <t>Selected Implied Enterprise Value — Low ($mm)</t>
  </si>
  <si>
    <t>Selected on LTM EV/EBITDA. Cross-check only — the recommendation rests on the DCF.</t>
  </si>
  <si>
    <t>Selected Implied Enterprise Value — Base ($mm)</t>
  </si>
  <si>
    <t>Selected Implied Enterprise Value — High ($mm)</t>
  </si>
  <si>
    <t>Less: Total Debt ($mm)</t>
  </si>
  <si>
    <t>Less: Minority Interest ($mm)</t>
  </si>
  <si>
    <t>Plus: Cash and Cash Equivalents ($mm)</t>
  </si>
  <si>
    <t>Implied Equity Value — Low ($mm)</t>
  </si>
  <si>
    <t>Implied Equity Value — Base ($mm)</t>
  </si>
  <si>
    <t>Implied Equity Value — High ($mm)</t>
  </si>
  <si>
    <t>Diluted Shares Outstanding (millions)</t>
  </si>
  <si>
    <t>Implied Share Price — Low ($)</t>
  </si>
  <si>
    <t>Implied Share Price — Base ($)</t>
  </si>
  <si>
    <t>Implied Share Price — High ($)</t>
  </si>
  <si>
    <t>Current Share Price ($)</t>
  </si>
  <si>
    <t>Implied Upside / (Downside) — Low (%)</t>
  </si>
  <si>
    <t>Implied Upside / (Downside) — Base (%)</t>
  </si>
  <si>
    <t>Implied Upside / (Downside) — High (%)</t>
  </si>
  <si>
    <t>Peer Tier Mapping</t>
  </si>
  <si>
    <t>Tier</t>
  </si>
  <si>
    <t>Rationale</t>
  </si>
  <si>
    <t>Tier 1 — Direct memory</t>
  </si>
  <si>
    <t>DRAM + NAND; closest pure comparable. KRW; Dec year-end.</t>
  </si>
  <si>
    <t>Commodity DRAM pure-play. TWD; Dec year-end.</t>
  </si>
  <si>
    <t>NAND pure-play. JPY; Mar year-end.</t>
  </si>
  <si>
    <t>NAND; spun from Western Digital 2025.</t>
  </si>
  <si>
    <t>Tier 2 — Diversified</t>
  </si>
  <si>
    <t>Largest memory maker but memory is a minority of group revenue. KRW.</t>
  </si>
  <si>
    <t>Tier 2 — Adjacent storage</t>
  </si>
  <si>
    <t>HDD post-spin; storage demand overlap, different economics.</t>
  </si>
  <si>
    <t>Beta &amp; Weighted Average Cost of Capital Inputs — see WACC Build sheet</t>
  </si>
  <si>
    <t>Beta (5-Year Monthly vs. S&amp;P 500)</t>
  </si>
  <si>
    <t>Fiscal Year End</t>
  </si>
  <si>
    <t>Aug (late)</t>
  </si>
  <si>
    <t>Dec 31</t>
  </si>
  <si>
    <t>Mar 31</t>
  </si>
  <si>
    <t>~Dec</t>
  </si>
  <si>
    <t>~Jun</t>
  </si>
  <si>
    <t>CALENDARIZATION REQUIRED: Micron's fiscal year ends in late August; every peer differs.</t>
  </si>
  <si>
    <t>Calendarize peer LTM figures to a common period or disclose the mismatch explicitly. This is the single most common technical error in Micron comps.</t>
  </si>
  <si>
    <t>Forward Cross-Check — Equity Value from Calendarised Peer NTM Multiples</t>
  </si>
  <si>
    <t>Implied EV at peer 25th percentile NTM EV/EBITDA ($mm)</t>
  </si>
  <si>
    <t>Implied EV at peer median NTM EV/EBITDA ($mm)</t>
  </si>
  <si>
    <t>Implied EV at peer 75th percentile NTM EV/EBITDA ($mm)</t>
  </si>
  <si>
    <t>Micron NTM EPS (consensus, calendarised)</t>
  </si>
  <si>
    <t>Implied price at peer median NTM P/E ($)</t>
  </si>
  <si>
    <t>These are relative-value cross-checks, not the recommendation. Micron trades at a premium to the calendarised peer median on every forward</t>
  </si>
  <si>
    <t>metric, so a peer-multiple mark sits below the current price; the DCF is the primary method and the comps corroborate its direction.</t>
  </si>
  <si>
    <t>Trading comparables — all figures USD, prices as of 15 September 2026</t>
  </si>
  <si>
    <t>Prices: LSEG USD-converted history. Fundamentals: LSEG company exports, latest reported fiscal year (period shown).</t>
  </si>
  <si>
    <t>Fundamentals period</t>
  </si>
  <si>
    <t>Price $</t>
  </si>
  <si>
    <t>Market cap $mm</t>
  </si>
  <si>
    <t>EV $mm</t>
  </si>
  <si>
    <t>EV/Rev</t>
  </si>
  <si>
    <t>EV/EBITDA</t>
  </si>
  <si>
    <t>EV/EBIT</t>
  </si>
  <si>
    <t>P/E</t>
  </si>
  <si>
    <t>P/B</t>
  </si>
  <si>
    <t>GM %</t>
  </si>
  <si>
    <t>Micron Technology (TTM)</t>
  </si>
  <si>
    <t>2026-05-28 TTM</t>
  </si>
  <si>
    <t>2025-12-31</t>
  </si>
  <si>
    <t>2026-03-31</t>
  </si>
  <si>
    <t>2026-07-03</t>
  </si>
  <si>
    <t>Peer median</t>
  </si>
  <si>
    <t>Peer mean</t>
  </si>
  <si>
    <t>READING: Micron trades at a DISCOUNT to the peer group on every multiple.</t>
  </si>
  <si>
    <t>Two qualifications. (1) Period mismatch: Micron’s denominator is TTM to 2026-05-28; SK hynix, Samsung and Nanya use CY2025 — 8.5 months stale. SK hynix needs only 28% EBITDA growth in 2026 to match Micron’s 15.1x, while Micron’s own EBITDA grew 3.7x. On a like-for-like forward basis the discount likely reverses.</t>
  </si>
  <si>
    <t>(2) Comps measure RELATIVE value inside a group we argue is uniformly mispriced. Our recommendation rests on absolute measures — DCF, reverse DCF, and P/B against ROE — none of which depend on Micron being dear versus Kioxia.</t>
  </si>
  <si>
    <t>Total return since Micron’s FY2025 close (2025-08-28) through 2026-09-15:</t>
  </si>
  <si>
    <t>SanDisk</t>
  </si>
  <si>
    <t>2,909%</t>
  </si>
  <si>
    <t>Kioxia</t>
  </si>
  <si>
    <t>1,893%</t>
  </si>
  <si>
    <t>Nanya</t>
  </si>
  <si>
    <t>858%</t>
  </si>
  <si>
    <t>Micron</t>
  </si>
  <si>
    <t>657%</t>
  </si>
  <si>
    <t>SK hynix</t>
  </si>
  <si>
    <t>547%</t>
  </si>
  <si>
    <t>Western Digital</t>
  </si>
  <si>
    <t>402%</t>
  </si>
  <si>
    <t>Samsung</t>
  </si>
  <si>
    <t>267%</t>
  </si>
  <si>
    <t>703%</t>
  </si>
  <si>
    <t>Micron sits BELOW the peer median. It is not the outlier — the sector is.</t>
  </si>
  <si>
    <t>Micron vs memory peers — operating and balance-sheet benchmarks</t>
  </si>
  <si>
    <t>These require NO share price, so they are usable now. Source: LSEG company fundamentals exports, 2026-09-15.</t>
  </si>
  <si>
    <t>Period-end dates differ by company and are shown. Micron is TTM through Q3 FY2026 (2026-05-28).</t>
  </si>
  <si>
    <t>Period end</t>
  </si>
  <si>
    <t>Currency</t>
  </si>
  <si>
    <t>Revenue $mm</t>
  </si>
  <si>
    <t>Gross margin %</t>
  </si>
  <si>
    <t>EBITDA margin %</t>
  </si>
  <si>
    <t>Net income $mm</t>
  </si>
  <si>
    <t>ROE %</t>
  </si>
  <si>
    <t>ROIC %</t>
  </si>
  <si>
    <t>Current ratio</t>
  </si>
  <si>
    <t>Net debt / EBITDA</t>
  </si>
  <si>
    <t>Capex / sales %</t>
  </si>
  <si>
    <t>2026-05-28 (TTM)</t>
  </si>
  <si>
    <t>USD</t>
  </si>
  <si>
    <t>KRW</t>
  </si>
  <si>
    <t>JPY</t>
  </si>
  <si>
    <t>TWD</t>
  </si>
  <si>
    <t>Peer high</t>
  </si>
  <si>
    <t>Peer low</t>
  </si>
  <si>
    <t>FX (FRED, 2026-09-11): KRW 1,340.30 / JPY 153.71 / TWD 31.64 per USD.</t>
  </si>
  <si>
    <t>CALENDARIZATION: period ends span 2025-12-31 to 2026-07-03 against Micron TTM to 2026-05-28. Disclosed, not adjusted — these exports carry annual data only.</t>
  </si>
  <si>
    <t>ACCOUNTING: SK hynix, Samsung, Kioxia and Nanya report under IFRS; Micron, SanDisk and Western Digital under US GAAP.</t>
  </si>
  <si>
    <t>Mid-cycle multiples and the price-to-book / return-on-equity cross-check</t>
  </si>
  <si>
    <t>LTM multiples on a memory name at a cycle peak are close to meaningless. This sheet is the discipline.</t>
  </si>
  <si>
    <t>POPULATED FROM LSEG EXPORT mu.xlsx (export date 2026-09-15). MU only; peers still needed.</t>
  </si>
  <si>
    <t>A. Micron historical valuation multiples by fiscal year (LSEG)</t>
  </si>
  <si>
    <t>Fiscal year</t>
  </si>
  <si>
    <t>Price / Book</t>
  </si>
  <si>
    <t>P / E diluted</t>
  </si>
  <si>
    <t>n/m</t>
  </si>
  <si>
    <t>7-year range</t>
  </si>
  <si>
    <t>P/B  1.26x - 2.53x  (median 1.74x)</t>
  </si>
  <si>
    <t>EV/EBITDA  3.6x - 35.0x; ex-FY23-trough 3.6x - 12.6x (median 6.0x)</t>
  </si>
  <si>
    <t>B. Price-to-book against return on equity — the memory-sector cross-check</t>
  </si>
  <si>
    <t>Justified P/B = (ROE - g) / (r - g).  r = 11%, g = 2.5%.</t>
  </si>
  <si>
    <t>Current share price ($)</t>
  </si>
  <si>
    <t>Current book value per share ($)</t>
  </si>
  <si>
    <t>Current P/B (x)</t>
  </si>
  <si>
    <t>Current TTM ROE (%)</t>
  </si>
  <si>
    <t>Sustained ROE</t>
  </si>
  <si>
    <t>Justified P/B</t>
  </si>
  <si>
    <t>Implied price</t>
  </si>
  <si>
    <t>vs market</t>
  </si>
  <si>
    <t>ROE required to justify the current price</t>
  </si>
  <si>
    <t>FY21-FY25 mean ROE 7.7%; prior-cycle peak 18.5% (FY2022). The market requires ~4.9x the best prior-cycle year, permanently.</t>
  </si>
  <si>
    <t>C. Triangulation — every method against the $924 price</t>
  </si>
  <si>
    <t>Scenario DCF, probability-weighted 25/50/25</t>
  </si>
  <si>
    <t>P/B at 7-year median 1.74x on current BVPS</t>
  </si>
  <si>
    <t>P/B at 7-year maximum 2.53x on current BVPS</t>
  </si>
  <si>
    <t>P/B justified by a normalized 20% ROE</t>
  </si>
  <si>
    <t>P/B justified by a normalized 30% ROE</t>
  </si>
  <si>
    <t>EV/EBITDA at 6.0x ex-trough median on mid-cycle EBITDA $45B</t>
  </si>
  <si>
    <t>Asset / replacement-cost floor (proxy)</t>
  </si>
  <si>
    <t>CAVEAT — read before using</t>
  </si>
  <si>
    <t>SUPERSEDED — see section D below for the forward-book resolution.</t>
  </si>
  <si>
    <t>D. RESOLVING THE P/B vs DCF DIVERGENCE — forward book value</t>
  </si>
  <si>
    <t>Current-book P/B gave $155-$289 against a DCF of $406. The gap is a timing mismatch: Micron retains ~94% of earnings, so book compounds fast. Rolling book forward on the base-case earnings path and applying the SAME historical multiples is the like-for-like comparison.</t>
  </si>
  <si>
    <t>Book value per share, FY2031E (base case)</t>
  </si>
  <si>
    <t>P/B at 7-year low 1.26x → FY31 value</t>
  </si>
  <si>
    <t xml:space="preserve">   present value at 14.1%</t>
  </si>
  <si>
    <t>P/B at 7-year median 1.74x → FY31 value</t>
  </si>
  <si>
    <t>P/B at 7-year high 2.53x → FY31 value</t>
  </si>
  <si>
    <t>DCF base case</t>
  </si>
  <si>
    <t>DCF probability-weighted target</t>
  </si>
  <si>
    <t>CONVERGENCE: forward-book P/B at the median gives $393; the DCF base is $357.</t>
  </si>
  <si>
    <t>The methods agree once the book-timing mismatch is removed.</t>
  </si>
  <si>
    <t>Micron Technology, Inc. — Weighted Average Cost of Capital</t>
  </si>
  <si>
    <t>Structure lifted from last cycle's DCF template. Replaces the 11% assumed rate in the model.</t>
  </si>
  <si>
    <t>INPUTS</t>
  </si>
  <si>
    <t>Risk-free rate — US 10Y Treasury</t>
  </si>
  <si>
    <t>FRED DGS10, 2026-09-14</t>
  </si>
  <si>
    <t>Equity risk premium</t>
  </si>
  <si>
    <t>Assumption. Sensitised below.</t>
  </si>
  <si>
    <t>Pre-tax cost of debt</t>
  </si>
  <si>
    <t>FRED BAMLC0A4CBBBEY, ICE BofA BBB index, 2026-09-14</t>
  </si>
  <si>
    <t>Marginal tax rate</t>
  </si>
  <si>
    <t>FY26 effective rate 14.6%</t>
  </si>
  <si>
    <t>Market value of equity ($mm)</t>
  </si>
  <si>
    <t>$924.03 x 1,145M diluted</t>
  </si>
  <si>
    <t>Total debt ($mm)</t>
  </si>
  <si>
    <t>Q3 FY26 10-Q, debt and capital leases</t>
  </si>
  <si>
    <t>BETA — the choice that decides the answer</t>
  </si>
  <si>
    <t>MU raw 5-yr monthly beta</t>
  </si>
  <si>
    <t>LSEG</t>
  </si>
  <si>
    <t>MU Blume-adjusted (0.67b + 0.33)</t>
  </si>
  <si>
    <t>Standard correction for beta reversion toward 1.0</t>
  </si>
  <si>
    <t>Peer median raw beta</t>
  </si>
  <si>
    <t>SK hynix 1.80, Samsung 1.23, Kioxia 1.73, SanDisk 2.60, Nanya 1.89, WDC 2.13</t>
  </si>
  <si>
    <t>SELECTED BETA</t>
  </si>
  <si>
    <t>Blume-adjusted. Corroborated independently by the peer median of 1.84.</t>
  </si>
  <si>
    <t>BUILD</t>
  </si>
  <si>
    <t>Cost of equity</t>
  </si>
  <si>
    <t>After-tax cost of debt</t>
  </si>
  <si>
    <t>Equity weight</t>
  </si>
  <si>
    <t>Debt weight</t>
  </si>
  <si>
    <t>WACC</t>
  </si>
  <si>
    <t>Micron is ~99.5% equity-funded, so WACC is essentially cost of equity</t>
  </si>
  <si>
    <t>SENSITIVITY — WACC by beta treatment</t>
  </si>
  <si>
    <t xml:space="preserve">  Raw beta 2.25</t>
  </si>
  <si>
    <t xml:space="preserve">  Blume-adjusted 1.84</t>
  </si>
  <si>
    <t xml:space="preserve">  Peer median Blume-adjusted 1.56</t>
  </si>
  <si>
    <t xml:space="preserve">  Originally assumed in the model</t>
  </si>
  <si>
    <t>Formula audit 16 Sep: B14 and B23 were circular; B16 pointed at the peer median rather than the Blume figure; B19 referenced a blank cell. All four corrected.</t>
  </si>
  <si>
    <t>Base WACC</t>
  </si>
  <si>
    <t>Bull</t>
  </si>
  <si>
    <t>Base</t>
  </si>
  <si>
    <t>Bear</t>
  </si>
  <si>
    <t>Weighted 25/50/25</t>
  </si>
  <si>
    <t>vs $924</t>
  </si>
  <si>
    <t>originally assumed</t>
  </si>
  <si>
    <t>peer median, Blume-adjusted</t>
  </si>
  <si>
    <t>MU beta, Blume-adjusted (SELECTED)</t>
  </si>
  <si>
    <t>MU raw 5-yr beta</t>
  </si>
  <si>
    <t>NOTE ON BIAS: a higher WACC strengthens our Sell case. We adopt the Blume-adjusted beta, not the raw one, precisely because the raw figure is inflated by the 2026 upcycle we argue is temporary — applying peak-volatility beta to normalized cash flows is internally inconsistent, and choosing the input that most flatters our own conclusion is an opening a judge should take.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</si>
</sst>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\$#,##0.00"/>
    <numFmt numFmtId="165" formatCode="0.0%"/>
    <numFmt numFmtId="166" formatCode="#,##0;\(#,##0\);\-"/>
    <numFmt numFmtId="167" formatCode="0.0\x"/>
    <numFmt numFmtId="168" formatCode="0.0"/>
    <numFmt numFmtId="169" formatCode="0.00&quot;x&quot;"/>
    <numFmt numFmtId="170" formatCode="\+0.0%;\-0.0%"/>
  </numFmts>
  <fonts count="27" x14ac:knownFonts="1">
    <font>
      <sz val="11"/>
      <color theme="1"/>
      <name val="Calibri"/>
      <family val="2"/>
      <charset val="1"/>
    </font>
    <font>
      <b/>
      <sz val="14"/>
      <color rgb="FF000000"/>
      <name val="Arial"/>
      <family val="2"/>
    </font>
    <font>
      <i/>
      <sz val="10"/>
      <color rgb="FF808080"/>
      <name val="Arial"/>
      <family val="2"/>
    </font>
    <font>
      <i/>
      <sz val="9"/>
      <color rgb="FF808080"/>
      <name val="Arial"/>
      <family val="2"/>
    </font>
    <font>
      <b/>
      <u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i/>
      <sz val="9"/>
      <color rgb="FF80808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color rgb="FFC00000"/>
      <name val="Calibri"/>
      <family val="2"/>
    </font>
    <font>
      <b/>
      <sz val="10"/>
      <color rgb="FF2A78D6"/>
      <name val="Calibri"/>
      <family val="2"/>
    </font>
    <font>
      <b/>
      <sz val="11"/>
      <color rgb="FFC00000"/>
      <name val="Calibri"/>
      <family val="2"/>
    </font>
    <font>
      <i/>
      <sz val="9"/>
      <color rgb="FF808080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b/>
      <sz val="12"/>
      <name val="Calibri"/>
      <family val="2"/>
    </font>
    <font>
      <b/>
      <sz val="11"/>
      <color rgb="FFC00000"/>
      <name val="Calibri"/>
      <family val="2"/>
    </font>
    <font>
      <i/>
      <sz val="9"/>
      <color rgb="FF808080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i/>
      <sz val="9"/>
      <color rgb="FFC00000"/>
      <name val="Calibri"/>
      <family val="2"/>
    </font>
    <font>
      <b/>
      <sz val="9"/>
      <color rgb="FFFFFFFF"/>
      <name val="Calibri"/>
      <family val="2"/>
    </font>
    <font>
      <i/>
      <sz val="8"/>
      <color rgb="FF666666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CC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6" fillId="3" borderId="0" xfId="0" applyFont="1" applyFill="1"/>
    <xf numFmtId="164" fontId="7" fillId="4" borderId="0" xfId="0" applyNumberFormat="1" applyFont="1" applyFill="1"/>
    <xf numFmtId="3" fontId="7" fillId="4" borderId="0" xfId="0" applyNumberFormat="1" applyFont="1" applyFill="1"/>
    <xf numFmtId="3" fontId="6" fillId="0" borderId="0" xfId="0" applyNumberFormat="1" applyFont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0" fontId="6" fillId="5" borderId="0" xfId="0" applyFont="1" applyFill="1"/>
    <xf numFmtId="164" fontId="6" fillId="5" borderId="0" xfId="0" applyNumberFormat="1" applyFont="1" applyFill="1"/>
    <xf numFmtId="3" fontId="6" fillId="5" borderId="0" xfId="0" applyNumberFormat="1" applyFont="1" applyFill="1"/>
    <xf numFmtId="165" fontId="8" fillId="0" borderId="0" xfId="0" applyNumberFormat="1" applyFont="1"/>
    <xf numFmtId="166" fontId="7" fillId="4" borderId="0" xfId="0" applyNumberFormat="1" applyFont="1" applyFill="1"/>
    <xf numFmtId="166" fontId="8" fillId="0" borderId="0" xfId="0" applyNumberFormat="1" applyFont="1"/>
    <xf numFmtId="165" fontId="6" fillId="5" borderId="0" xfId="0" applyNumberFormat="1" applyFont="1" applyFill="1"/>
    <xf numFmtId="167" fontId="8" fillId="0" borderId="0" xfId="0" applyNumberFormat="1" applyFont="1"/>
    <xf numFmtId="167" fontId="6" fillId="5" borderId="0" xfId="0" applyNumberFormat="1" applyFont="1" applyFill="1"/>
    <xf numFmtId="0" fontId="6" fillId="0" borderId="0" xfId="0" applyFont="1"/>
    <xf numFmtId="165" fontId="6" fillId="0" borderId="1" xfId="0" applyNumberFormat="1" applyFont="1" applyBorder="1"/>
    <xf numFmtId="0" fontId="6" fillId="0" borderId="1" xfId="0" applyFont="1" applyBorder="1"/>
    <xf numFmtId="3" fontId="9" fillId="0" borderId="0" xfId="0" applyNumberFormat="1" applyFont="1"/>
    <xf numFmtId="3" fontId="6" fillId="0" borderId="1" xfId="0" applyNumberFormat="1" applyFont="1" applyBorder="1"/>
    <xf numFmtId="164" fontId="6" fillId="0" borderId="1" xfId="0" applyNumberFormat="1" applyFont="1" applyBorder="1"/>
    <xf numFmtId="164" fontId="9" fillId="0" borderId="0" xfId="0" applyNumberFormat="1" applyFont="1"/>
    <xf numFmtId="165" fontId="6" fillId="0" borderId="0" xfId="0" applyNumberFormat="1" applyFont="1"/>
    <xf numFmtId="0" fontId="3" fillId="0" borderId="0" xfId="0" applyFont="1" applyAlignment="1">
      <alignment horizontal="left" vertical="center" wrapText="1"/>
    </xf>
    <xf numFmtId="3" fontId="7" fillId="6" borderId="0" xfId="0" applyNumberFormat="1" applyFont="1" applyFill="1"/>
    <xf numFmtId="0" fontId="7" fillId="6" borderId="0" xfId="0" applyFont="1" applyFill="1"/>
    <xf numFmtId="0" fontId="10" fillId="0" borderId="0" xfId="0" applyFont="1"/>
    <xf numFmtId="0" fontId="0" fillId="6" borderId="0" xfId="0" applyFill="1"/>
    <xf numFmtId="165" fontId="7" fillId="6" borderId="0" xfId="0" applyNumberFormat="1" applyFont="1" applyFill="1"/>
    <xf numFmtId="0" fontId="13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0" fillId="7" borderId="0" xfId="0" applyFill="1"/>
    <xf numFmtId="0" fontId="15" fillId="0" borderId="0" xfId="0" applyFont="1"/>
    <xf numFmtId="3" fontId="7" fillId="7" borderId="0" xfId="0" applyNumberFormat="1" applyFont="1" applyFill="1"/>
    <xf numFmtId="166" fontId="7" fillId="7" borderId="0" xfId="0" applyNumberFormat="1" applyFont="1" applyFill="1"/>
    <xf numFmtId="167" fontId="8" fillId="7" borderId="0" xfId="0" applyNumberFormat="1" applyFont="1" applyFill="1"/>
    <xf numFmtId="2" fontId="7" fillId="7" borderId="0" xfId="0" applyNumberFormat="1" applyFont="1" applyFill="1"/>
    <xf numFmtId="0" fontId="16" fillId="0" borderId="0" xfId="0" applyFont="1"/>
    <xf numFmtId="0" fontId="17" fillId="0" borderId="0" xfId="0" applyFont="1"/>
    <xf numFmtId="164" fontId="7" fillId="8" borderId="0" xfId="0" applyNumberFormat="1" applyFont="1" applyFill="1"/>
    <xf numFmtId="0" fontId="18" fillId="0" borderId="0" xfId="0" applyFont="1"/>
    <xf numFmtId="0" fontId="19" fillId="0" borderId="0" xfId="0" applyFont="1"/>
    <xf numFmtId="0" fontId="0" fillId="8" borderId="0" xfId="0" applyFill="1"/>
    <xf numFmtId="0" fontId="22" fillId="0" borderId="0" xfId="0" applyFont="1"/>
    <xf numFmtId="0" fontId="23" fillId="0" borderId="0" xfId="0" applyFont="1"/>
    <xf numFmtId="0" fontId="20" fillId="0" borderId="0" xfId="0" applyFont="1"/>
    <xf numFmtId="0" fontId="21" fillId="0" borderId="0" xfId="0" applyFont="1"/>
    <xf numFmtId="3" fontId="7" fillId="9" borderId="0" xfId="0" applyNumberFormat="1" applyFont="1" applyFill="1"/>
    <xf numFmtId="0" fontId="7" fillId="9" borderId="0" xfId="0" applyFont="1" applyFill="1"/>
    <xf numFmtId="3" fontId="7" fillId="10" borderId="0" xfId="0" applyNumberFormat="1" applyFont="1" applyFill="1"/>
    <xf numFmtId="164" fontId="7" fillId="10" borderId="0" xfId="0" applyNumberFormat="1" applyFont="1" applyFill="1"/>
    <xf numFmtId="165" fontId="7" fillId="10" borderId="0" xfId="0" applyNumberFormat="1" applyFont="1" applyFill="1"/>
    <xf numFmtId="0" fontId="0" fillId="10" borderId="0" xfId="0" applyFill="1"/>
    <xf numFmtId="3" fontId="6" fillId="10" borderId="0" xfId="0" applyNumberFormat="1" applyFont="1" applyFill="1"/>
    <xf numFmtId="165" fontId="6" fillId="10" borderId="0" xfId="0" applyNumberFormat="1" applyFont="1" applyFill="1"/>
    <xf numFmtId="165" fontId="7" fillId="9" borderId="0" xfId="0" applyNumberFormat="1" applyFont="1" applyFill="1"/>
    <xf numFmtId="167" fontId="8" fillId="9" borderId="0" xfId="0" applyNumberFormat="1" applyFont="1" applyFill="1"/>
    <xf numFmtId="2" fontId="0" fillId="0" borderId="0" xfId="0" applyNumberFormat="1"/>
    <xf numFmtId="10" fontId="0" fillId="0" borderId="0" xfId="0" applyNumberFormat="1"/>
    <xf numFmtId="0" fontId="24" fillId="0" borderId="0" xfId="0" applyFont="1"/>
    <xf numFmtId="0" fontId="25" fillId="11" borderId="0" xfId="0" applyFont="1" applyFill="1" applyAlignment="1">
      <alignment vertical="center" wrapText="1"/>
    </xf>
    <xf numFmtId="0" fontId="23" fillId="12" borderId="0" xfId="0" applyFont="1" applyFill="1"/>
    <xf numFmtId="3" fontId="7" fillId="12" borderId="0" xfId="0" applyNumberFormat="1" applyFont="1" applyFill="1"/>
    <xf numFmtId="168" fontId="8" fillId="12" borderId="0" xfId="0" applyNumberFormat="1" applyFont="1" applyFill="1"/>
    <xf numFmtId="3" fontId="8" fillId="12" borderId="0" xfId="0" applyNumberFormat="1" applyFont="1" applyFill="1"/>
    <xf numFmtId="164" fontId="7" fillId="12" borderId="0" xfId="0" applyNumberFormat="1" applyFont="1" applyFill="1"/>
    <xf numFmtId="165" fontId="7" fillId="12" borderId="0" xfId="0" applyNumberFormat="1" applyFont="1" applyFill="1"/>
    <xf numFmtId="169" fontId="7" fillId="12" borderId="0" xfId="0" applyNumberFormat="1" applyFont="1" applyFill="1"/>
    <xf numFmtId="168" fontId="8" fillId="10" borderId="0" xfId="0" applyNumberFormat="1" applyFont="1" applyFill="1"/>
    <xf numFmtId="3" fontId="8" fillId="10" borderId="0" xfId="0" applyNumberFormat="1" applyFont="1" applyFill="1"/>
    <xf numFmtId="169" fontId="7" fillId="10" borderId="0" xfId="0" applyNumberFormat="1" applyFont="1" applyFill="1"/>
    <xf numFmtId="0" fontId="23" fillId="5" borderId="0" xfId="0" applyFont="1" applyFill="1"/>
    <xf numFmtId="3" fontId="23" fillId="10" borderId="0" xfId="0" applyNumberFormat="1" applyFont="1" applyFill="1"/>
    <xf numFmtId="164" fontId="23" fillId="10" borderId="0" xfId="0" applyNumberFormat="1" applyFont="1" applyFill="1"/>
    <xf numFmtId="165" fontId="23" fillId="10" borderId="0" xfId="0" applyNumberFormat="1" applyFont="1" applyFill="1"/>
    <xf numFmtId="169" fontId="23" fillId="10" borderId="0" xfId="0" applyNumberFormat="1" applyFont="1" applyFill="1"/>
    <xf numFmtId="170" fontId="23" fillId="0" borderId="0" xfId="0" applyNumberFormat="1" applyFont="1"/>
    <xf numFmtId="0" fontId="26" fillId="0" borderId="0" xfId="0" applyFont="1"/>
    <xf numFmtId="0" fontId="26" fillId="2" borderId="0" xfId="0" applyFont="1" applyFill="1" applyAlignment="1">
      <alignment horizontal="center" vertical="center"/>
    </xf>
    <xf numFmtId="0" fontId="23" fillId="3" borderId="0" xfId="0" applyFont="1" applyFill="1"/>
    <xf numFmtId="169" fontId="8" fillId="12" borderId="0" xfId="0" applyNumberFormat="1" applyFont="1" applyFill="1"/>
    <xf numFmtId="165" fontId="8" fillId="12" borderId="0" xfId="0" applyNumberFormat="1" applyFont="1" applyFill="1"/>
    <xf numFmtId="0" fontId="0" fillId="12" borderId="0" xfId="0" applyFill="1"/>
    <xf numFmtId="168" fontId="0" fillId="12" borderId="0" xfId="0" applyNumberFormat="1" applyFill="1"/>
    <xf numFmtId="169" fontId="8" fillId="0" borderId="0" xfId="0" applyNumberFormat="1" applyFont="1"/>
    <xf numFmtId="168" fontId="0" fillId="0" borderId="0" xfId="0" applyNumberFormat="1"/>
    <xf numFmtId="169" fontId="6" fillId="5" borderId="0" xfId="0" applyNumberFormat="1" applyFont="1" applyFill="1"/>
    <xf numFmtId="170" fontId="23" fillId="0" borderId="1" xfId="0" applyNumberFormat="1" applyFont="1" applyBorder="1"/>
    <xf numFmtId="169" fontId="0" fillId="0" borderId="0" xfId="0" applyNumberFormat="1"/>
    <xf numFmtId="3" fontId="0" fillId="0" borderId="0" xfId="0" applyNumberFormat="1"/>
    <xf numFmtId="164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>
      <selection activeCell="A15" sqref="A15"/>
    </sheetView>
  </sheetViews>
  <sheetFormatPr defaultRowHeight="15" x14ac:dyDescent="0.25"/>
  <cols>
    <col min="1" max="1" width="26" customWidth="1"/>
    <col min="2" max="2" width="92" customWidth="1"/>
    <col min="3" max="3" width="24" customWidth="1"/>
  </cols>
  <sheetData>
    <row r="1" spans="1:3" ht="17.25" x14ac:dyDescent="0.3">
      <c r="A1" s="52" t="s">
        <v>0</v>
      </c>
    </row>
    <row r="3" spans="1:3" x14ac:dyDescent="0.25">
      <c r="A3" s="53" t="s">
        <v>1</v>
      </c>
      <c r="B3" s="53" t="s">
        <v>2</v>
      </c>
      <c r="C3" s="53" t="s">
        <v>3</v>
      </c>
    </row>
    <row r="4" spans="1:3" x14ac:dyDescent="0.25">
      <c r="A4" t="s">
        <v>4</v>
      </c>
      <c r="B4" t="s">
        <v>5</v>
      </c>
      <c r="C4" t="s">
        <v>6</v>
      </c>
    </row>
    <row r="5" spans="1:3" x14ac:dyDescent="0.25">
      <c r="A5" t="s">
        <v>7</v>
      </c>
      <c r="B5" t="s">
        <v>8</v>
      </c>
      <c r="C5" t="s">
        <v>6</v>
      </c>
    </row>
    <row r="6" spans="1:3" x14ac:dyDescent="0.25">
      <c r="A6" t="s">
        <v>9</v>
      </c>
      <c r="B6" t="s">
        <v>10</v>
      </c>
      <c r="C6" t="s">
        <v>11</v>
      </c>
    </row>
    <row r="7" spans="1:3" x14ac:dyDescent="0.25">
      <c r="A7" t="s">
        <v>12</v>
      </c>
      <c r="B7" t="s">
        <v>13</v>
      </c>
      <c r="C7" t="s">
        <v>14</v>
      </c>
    </row>
    <row r="8" spans="1:3" x14ac:dyDescent="0.25">
      <c r="A8" t="s">
        <v>15</v>
      </c>
      <c r="B8" t="s">
        <v>16</v>
      </c>
      <c r="C8" t="s">
        <v>6</v>
      </c>
    </row>
    <row r="9" spans="1:3" x14ac:dyDescent="0.25">
      <c r="A9" t="s">
        <v>17</v>
      </c>
      <c r="B9" t="s">
        <v>18</v>
      </c>
      <c r="C9" t="s">
        <v>6</v>
      </c>
    </row>
    <row r="10" spans="1:3" x14ac:dyDescent="0.25">
      <c r="A10" t="s">
        <v>19</v>
      </c>
      <c r="B10" t="s">
        <v>20</v>
      </c>
      <c r="C10" t="s">
        <v>6</v>
      </c>
    </row>
    <row r="11" spans="1:3" x14ac:dyDescent="0.25">
      <c r="A11" t="s">
        <v>21</v>
      </c>
      <c r="B11" t="s">
        <v>22</v>
      </c>
      <c r="C11" t="s">
        <v>6</v>
      </c>
    </row>
    <row r="13" spans="1:3" x14ac:dyDescent="0.25">
      <c r="A13" s="53" t="s">
        <v>23</v>
      </c>
    </row>
    <row r="14" spans="1:3" x14ac:dyDescent="0.25">
      <c r="A14" s="54"/>
    </row>
    <row r="15" spans="1:3" x14ac:dyDescent="0.25">
      <c r="A15" s="5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P29"/>
  <sheetViews>
    <sheetView zoomScaleNormal="100" workbookViewId="0">
      <selection activeCell="A15" sqref="A15"/>
    </sheetView>
  </sheetViews>
  <sheetFormatPr defaultColWidth="8.7109375" defaultRowHeight="15" x14ac:dyDescent="0.25"/>
  <cols>
    <col min="1" max="1" width="38" customWidth="1"/>
    <col min="2" max="2" width="10" customWidth="1"/>
    <col min="3" max="3" width="14" customWidth="1"/>
    <col min="4" max="4" width="16" customWidth="1"/>
    <col min="5" max="5" width="18" customWidth="1"/>
    <col min="6" max="6" width="16" customWidth="1"/>
    <col min="7" max="7" width="18" customWidth="1"/>
    <col min="8" max="9" width="16" customWidth="1"/>
    <col min="10" max="10" width="18" customWidth="1"/>
    <col min="11" max="11" width="28" customWidth="1"/>
  </cols>
  <sheetData>
    <row r="1" spans="1:16" ht="17.25" customHeight="1" x14ac:dyDescent="0.25">
      <c r="A1" s="1" t="s">
        <v>24</v>
      </c>
    </row>
    <row r="2" spans="1:16" ht="15" customHeight="1" x14ac:dyDescent="0.25">
      <c r="A2" s="2" t="s">
        <v>25</v>
      </c>
    </row>
    <row r="3" spans="1:16" ht="15" customHeight="1" x14ac:dyDescent="0.25">
      <c r="A3" s="3" t="s">
        <v>26</v>
      </c>
    </row>
    <row r="4" spans="1:16" ht="15" customHeight="1" x14ac:dyDescent="0.25">
      <c r="A4" s="46" t="s">
        <v>27</v>
      </c>
    </row>
    <row r="6" spans="1:16" ht="15" customHeight="1" x14ac:dyDescent="0.25">
      <c r="A6" s="4" t="s">
        <v>28</v>
      </c>
    </row>
    <row r="7" spans="1:16" ht="15" customHeight="1" x14ac:dyDescent="0.25">
      <c r="A7" s="5"/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  <c r="G7" s="5" t="s">
        <v>34</v>
      </c>
      <c r="H7" s="5" t="s">
        <v>35</v>
      </c>
      <c r="I7" s="5" t="s">
        <v>36</v>
      </c>
      <c r="J7" s="5" t="s">
        <v>37</v>
      </c>
      <c r="K7" s="5" t="s">
        <v>38</v>
      </c>
      <c r="N7" s="38" t="s">
        <v>39</v>
      </c>
      <c r="O7" s="47" t="s">
        <v>40</v>
      </c>
      <c r="P7" s="47" t="s">
        <v>41</v>
      </c>
    </row>
    <row r="8" spans="1:16" ht="15" customHeight="1" x14ac:dyDescent="0.25">
      <c r="A8" s="6" t="s">
        <v>42</v>
      </c>
      <c r="B8" s="6" t="s">
        <v>43</v>
      </c>
      <c r="C8" s="7">
        <v>924.03</v>
      </c>
      <c r="D8" s="8">
        <v>1145</v>
      </c>
      <c r="E8" s="9">
        <f>C8*D8</f>
        <v>1058014.3499999999</v>
      </c>
      <c r="F8" s="8">
        <v>5722</v>
      </c>
      <c r="G8" s="8">
        <v>30200</v>
      </c>
      <c r="H8" s="56">
        <v>0</v>
      </c>
      <c r="I8" s="10"/>
      <c r="J8" s="9">
        <f>E8+F8-G8+IF(H8="",0,H8)+IF(I8="",0,I8)</f>
        <v>1033536.3499999999</v>
      </c>
      <c r="N8" s="40">
        <v>2.25</v>
      </c>
    </row>
    <row r="9" spans="1:16" ht="15" customHeight="1" x14ac:dyDescent="0.25">
      <c r="A9" s="11"/>
    </row>
    <row r="10" spans="1:16" ht="15" customHeight="1" x14ac:dyDescent="0.25">
      <c r="A10" s="11" t="s">
        <v>44</v>
      </c>
      <c r="B10" s="11" t="s">
        <v>45</v>
      </c>
      <c r="C10" s="48">
        <v>1254.6099999999999</v>
      </c>
      <c r="D10" s="42">
        <v>711</v>
      </c>
      <c r="E10" s="12">
        <f t="shared" ref="E10:E15" si="0">C10*D10</f>
        <v>892027.71</v>
      </c>
      <c r="F10" s="42">
        <v>18472</v>
      </c>
      <c r="G10" s="42">
        <v>26046</v>
      </c>
      <c r="H10" s="56">
        <v>0</v>
      </c>
      <c r="I10" s="32"/>
      <c r="J10" s="12">
        <f t="shared" ref="J10:J15" si="1">E10+F10-G10+IF(H10="",0,H10)+IF(I10="",0,I10)</f>
        <v>884453.71</v>
      </c>
      <c r="K10" t="s">
        <v>46</v>
      </c>
      <c r="N10" s="40">
        <v>1.8</v>
      </c>
      <c r="O10">
        <v>1690000</v>
      </c>
      <c r="P10">
        <v>1347.03</v>
      </c>
    </row>
    <row r="11" spans="1:16" ht="15" customHeight="1" x14ac:dyDescent="0.25">
      <c r="A11" s="11" t="s">
        <v>47</v>
      </c>
      <c r="B11" s="11" t="s">
        <v>48</v>
      </c>
      <c r="C11" s="48">
        <v>184.48</v>
      </c>
      <c r="D11" s="42">
        <v>6703</v>
      </c>
      <c r="E11" s="12">
        <f t="shared" si="0"/>
        <v>1236569.44</v>
      </c>
      <c r="F11" s="42">
        <v>18831</v>
      </c>
      <c r="G11" s="42">
        <v>93895</v>
      </c>
      <c r="H11" s="56">
        <v>0</v>
      </c>
      <c r="I11" s="32"/>
      <c r="J11" s="12">
        <f t="shared" si="1"/>
        <v>1161505.44</v>
      </c>
      <c r="K11" t="s">
        <v>46</v>
      </c>
      <c r="N11" s="40">
        <v>1.23</v>
      </c>
      <c r="O11">
        <v>248500</v>
      </c>
      <c r="P11">
        <v>1347.03</v>
      </c>
    </row>
    <row r="12" spans="1:16" ht="15" customHeight="1" x14ac:dyDescent="0.25">
      <c r="A12" s="11" t="s">
        <v>49</v>
      </c>
      <c r="B12" s="11" t="s">
        <v>50</v>
      </c>
      <c r="C12" s="48">
        <v>335.28</v>
      </c>
      <c r="D12" s="42">
        <v>549</v>
      </c>
      <c r="E12" s="12">
        <f t="shared" si="0"/>
        <v>184068.71999999997</v>
      </c>
      <c r="F12" s="42">
        <v>8153</v>
      </c>
      <c r="G12" s="42">
        <v>3109</v>
      </c>
      <c r="H12" s="57">
        <v>0</v>
      </c>
      <c r="I12" s="32"/>
      <c r="J12" s="12">
        <f t="shared" si="1"/>
        <v>189112.71999999997</v>
      </c>
      <c r="K12" t="s">
        <v>51</v>
      </c>
      <c r="N12" s="40">
        <v>1.73</v>
      </c>
      <c r="O12">
        <v>51750</v>
      </c>
      <c r="P12">
        <v>154.35</v>
      </c>
    </row>
    <row r="13" spans="1:16" ht="15" customHeight="1" x14ac:dyDescent="0.25">
      <c r="A13" s="13" t="s">
        <v>60</v>
      </c>
      <c r="B13" s="11" t="s">
        <v>53</v>
      </c>
      <c r="C13" s="48">
        <v>1530.89</v>
      </c>
      <c r="D13" s="42">
        <v>155</v>
      </c>
      <c r="E13" s="12">
        <f t="shared" si="0"/>
        <v>237287.95</v>
      </c>
      <c r="F13" s="42">
        <v>0</v>
      </c>
      <c r="G13" s="42">
        <v>4762</v>
      </c>
      <c r="H13" s="56">
        <v>0</v>
      </c>
      <c r="I13" s="32"/>
      <c r="J13" s="12">
        <f t="shared" si="1"/>
        <v>232525.95</v>
      </c>
      <c r="K13" t="s">
        <v>54</v>
      </c>
      <c r="N13" s="40">
        <v>2.6</v>
      </c>
      <c r="O13">
        <v>1530.895</v>
      </c>
      <c r="P13">
        <v>1</v>
      </c>
    </row>
    <row r="14" spans="1:16" ht="15" customHeight="1" x14ac:dyDescent="0.25">
      <c r="A14" s="11"/>
      <c r="B14" s="11"/>
      <c r="C14" s="48">
        <v>14.66</v>
      </c>
      <c r="D14" s="42">
        <v>3152</v>
      </c>
      <c r="E14" s="12">
        <f t="shared" si="0"/>
        <v>46208.32</v>
      </c>
      <c r="F14" s="42">
        <v>746</v>
      </c>
      <c r="G14" s="42">
        <v>1835</v>
      </c>
      <c r="H14" s="57">
        <v>0</v>
      </c>
      <c r="I14" s="32"/>
      <c r="J14" s="12">
        <f t="shared" si="1"/>
        <v>45119.32</v>
      </c>
      <c r="K14" t="s">
        <v>57</v>
      </c>
      <c r="N14" s="40">
        <v>1.89</v>
      </c>
      <c r="O14">
        <v>465.5</v>
      </c>
      <c r="P14">
        <v>31.75</v>
      </c>
    </row>
    <row r="15" spans="1:16" ht="15" customHeight="1" x14ac:dyDescent="0.25">
      <c r="A15" s="11"/>
      <c r="B15" s="11"/>
      <c r="C15" s="48">
        <v>411.96</v>
      </c>
      <c r="D15" s="42">
        <v>383</v>
      </c>
      <c r="E15" s="12">
        <f t="shared" si="0"/>
        <v>157780.68</v>
      </c>
      <c r="F15" s="42">
        <v>1052</v>
      </c>
      <c r="G15" s="42">
        <v>1579</v>
      </c>
      <c r="H15" s="57">
        <v>0</v>
      </c>
      <c r="I15" s="32"/>
      <c r="J15" s="12">
        <f t="shared" si="1"/>
        <v>157253.68</v>
      </c>
      <c r="K15" t="s">
        <v>54</v>
      </c>
      <c r="N15" s="40">
        <v>2.13</v>
      </c>
      <c r="O15">
        <v>411.96</v>
      </c>
      <c r="P15">
        <v>1</v>
      </c>
    </row>
    <row r="17" spans="1:10" ht="15" customHeight="1" x14ac:dyDescent="0.25">
      <c r="C17" s="14">
        <f t="shared" ref="C17:J17" si="2">IFERROR(AVERAGE(C10:C15),"")</f>
        <v>621.98</v>
      </c>
      <c r="D17" s="15">
        <f t="shared" si="2"/>
        <v>1942.1666666666667</v>
      </c>
      <c r="E17" s="15">
        <f t="shared" si="2"/>
        <v>458990.47000000003</v>
      </c>
      <c r="F17" s="15">
        <f t="shared" si="2"/>
        <v>7875.666666666667</v>
      </c>
      <c r="G17" s="15">
        <f t="shared" si="2"/>
        <v>21871</v>
      </c>
      <c r="H17" s="15">
        <f t="shared" si="2"/>
        <v>0</v>
      </c>
      <c r="I17" s="15" t="str">
        <f t="shared" si="2"/>
        <v/>
      </c>
      <c r="J17" s="15">
        <f t="shared" si="2"/>
        <v>444995.13666666672</v>
      </c>
    </row>
    <row r="18" spans="1:10" ht="15" customHeight="1" x14ac:dyDescent="0.25">
      <c r="A18" s="13" t="s">
        <v>61</v>
      </c>
      <c r="C18" s="14">
        <f t="shared" ref="C18:J18" si="3">IFERROR(MEDIAN(C10:C15),"")</f>
        <v>373.62</v>
      </c>
      <c r="D18" s="15">
        <f t="shared" si="3"/>
        <v>630</v>
      </c>
      <c r="E18" s="15">
        <f t="shared" si="3"/>
        <v>210678.33499999999</v>
      </c>
      <c r="F18" s="15">
        <f t="shared" si="3"/>
        <v>4602.5</v>
      </c>
      <c r="G18" s="15">
        <f t="shared" si="3"/>
        <v>3935.5</v>
      </c>
      <c r="H18" s="15">
        <f t="shared" si="3"/>
        <v>0</v>
      </c>
      <c r="I18" s="15" t="str">
        <f t="shared" si="3"/>
        <v/>
      </c>
      <c r="J18" s="15">
        <f t="shared" si="3"/>
        <v>210819.33499999999</v>
      </c>
    </row>
    <row r="19" spans="1:10" ht="15" customHeight="1" x14ac:dyDescent="0.25">
      <c r="A19" s="13" t="s">
        <v>62</v>
      </c>
      <c r="C19" s="14">
        <f t="shared" ref="C19:J19" si="4">IFERROR(MAX(C10:C15),"")</f>
        <v>1530.89</v>
      </c>
      <c r="D19" s="15">
        <f t="shared" si="4"/>
        <v>6703</v>
      </c>
      <c r="E19" s="15">
        <f t="shared" si="4"/>
        <v>1236569.44</v>
      </c>
      <c r="F19" s="15">
        <f t="shared" si="4"/>
        <v>18831</v>
      </c>
      <c r="G19" s="15">
        <f t="shared" si="4"/>
        <v>93895</v>
      </c>
      <c r="H19" s="15">
        <f t="shared" si="4"/>
        <v>0</v>
      </c>
      <c r="I19" s="15">
        <f t="shared" si="4"/>
        <v>0</v>
      </c>
      <c r="J19" s="15">
        <f t="shared" si="4"/>
        <v>1161505.44</v>
      </c>
    </row>
    <row r="20" spans="1:10" ht="15" customHeight="1" x14ac:dyDescent="0.25">
      <c r="A20" s="13" t="s">
        <v>63</v>
      </c>
      <c r="C20" s="14">
        <f t="shared" ref="C20:J20" si="5">IFERROR(MIN(C10:C15),"")</f>
        <v>14.66</v>
      </c>
      <c r="D20" s="15">
        <f t="shared" si="5"/>
        <v>155</v>
      </c>
      <c r="E20" s="15">
        <f t="shared" si="5"/>
        <v>46208.32</v>
      </c>
      <c r="F20" s="15">
        <f t="shared" si="5"/>
        <v>0</v>
      </c>
      <c r="G20" s="15">
        <f t="shared" si="5"/>
        <v>1579</v>
      </c>
      <c r="H20" s="15">
        <f t="shared" si="5"/>
        <v>0</v>
      </c>
      <c r="I20" s="15">
        <f t="shared" si="5"/>
        <v>0</v>
      </c>
      <c r="J20" s="15">
        <f t="shared" si="5"/>
        <v>45119.32</v>
      </c>
    </row>
    <row r="22" spans="1:10" x14ac:dyDescent="0.25">
      <c r="A22" t="s">
        <v>64</v>
      </c>
    </row>
    <row r="23" spans="1:10" x14ac:dyDescent="0.25">
      <c r="A23" s="33" t="s">
        <v>65</v>
      </c>
    </row>
    <row r="24" spans="1:10" x14ac:dyDescent="0.25">
      <c r="A24" t="s">
        <v>66</v>
      </c>
      <c r="B24" s="34"/>
    </row>
    <row r="26" spans="1:10" x14ac:dyDescent="0.25">
      <c r="A26" s="49" t="s">
        <v>67</v>
      </c>
    </row>
    <row r="27" spans="1:10" x14ac:dyDescent="0.25">
      <c r="A27" s="46" t="s">
        <v>68</v>
      </c>
    </row>
    <row r="28" spans="1:10" x14ac:dyDescent="0.25">
      <c r="A28" s="46" t="s">
        <v>69</v>
      </c>
    </row>
    <row r="29" spans="1:10" x14ac:dyDescent="0.25">
      <c r="A29" s="33" t="s">
        <v>70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O56"/>
  <sheetViews>
    <sheetView topLeftCell="A21" zoomScaleNormal="100" workbookViewId="0"/>
  </sheetViews>
  <sheetFormatPr defaultColWidth="8.7109375" defaultRowHeight="15" x14ac:dyDescent="0.25"/>
  <cols>
    <col min="1" max="1" width="38" customWidth="1"/>
    <col min="2" max="2" width="10" customWidth="1"/>
    <col min="3" max="4" width="16" customWidth="1"/>
    <col min="5" max="5" width="14" customWidth="1"/>
    <col min="6" max="6" width="16" customWidth="1"/>
    <col min="7" max="7" width="14" customWidth="1"/>
    <col min="8" max="8" width="16" customWidth="1"/>
    <col min="9" max="9" width="14" customWidth="1"/>
    <col min="10" max="11" width="16" customWidth="1"/>
    <col min="12" max="14" width="14" customWidth="1"/>
    <col min="15" max="15" width="28" customWidth="1"/>
  </cols>
  <sheetData>
    <row r="1" spans="1:15" ht="17.25" customHeight="1" x14ac:dyDescent="0.25">
      <c r="A1" s="1" t="s">
        <v>24</v>
      </c>
    </row>
    <row r="2" spans="1:15" ht="15" customHeight="1" x14ac:dyDescent="0.25">
      <c r="A2" s="2" t="s">
        <v>25</v>
      </c>
    </row>
    <row r="4" spans="1:15" ht="15" customHeight="1" x14ac:dyDescent="0.25">
      <c r="A4" s="4" t="s">
        <v>71</v>
      </c>
    </row>
    <row r="5" spans="1:15" ht="15" customHeight="1" x14ac:dyDescent="0.25">
      <c r="A5" s="5"/>
      <c r="B5" s="5" t="s">
        <v>29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  <c r="H5" s="5" t="s">
        <v>77</v>
      </c>
      <c r="I5" s="5" t="s">
        <v>78</v>
      </c>
      <c r="J5" s="5" t="s">
        <v>79</v>
      </c>
      <c r="K5" s="5" t="s">
        <v>80</v>
      </c>
      <c r="L5" s="5" t="s">
        <v>81</v>
      </c>
      <c r="M5" s="5" t="s">
        <v>82</v>
      </c>
      <c r="N5" s="5" t="s">
        <v>83</v>
      </c>
      <c r="O5" s="5" t="s">
        <v>84</v>
      </c>
    </row>
    <row r="6" spans="1:15" ht="15" customHeight="1" x14ac:dyDescent="0.25">
      <c r="A6" s="6" t="s">
        <v>42</v>
      </c>
      <c r="B6" s="6" t="s">
        <v>43</v>
      </c>
      <c r="C6" s="8">
        <v>90274</v>
      </c>
      <c r="D6" s="8">
        <v>65505</v>
      </c>
      <c r="E6" s="16">
        <f>D6/C6</f>
        <v>0.72562421073620309</v>
      </c>
      <c r="F6" s="8">
        <v>68254</v>
      </c>
      <c r="G6" s="16">
        <f>F6/C6</f>
        <v>0.75607594656268695</v>
      </c>
      <c r="H6" s="8">
        <v>59054</v>
      </c>
      <c r="I6" s="16">
        <f>H6/C6</f>
        <v>0.65416398963156608</v>
      </c>
      <c r="J6" s="8">
        <v>50469</v>
      </c>
      <c r="K6" s="8">
        <v>63929</v>
      </c>
      <c r="L6" s="17">
        <v>-37757</v>
      </c>
      <c r="M6" s="18">
        <f>K6+L6</f>
        <v>26172</v>
      </c>
      <c r="N6" s="16">
        <f>IF(M6=0,"-",M6/C6)</f>
        <v>0.28991736269579282</v>
      </c>
    </row>
    <row r="7" spans="1:15" ht="15" customHeight="1" x14ac:dyDescent="0.25">
      <c r="A7" s="11"/>
    </row>
    <row r="8" spans="1:15" ht="15" customHeight="1" x14ac:dyDescent="0.25">
      <c r="A8" s="11" t="s">
        <v>44</v>
      </c>
      <c r="B8" s="11" t="s">
        <v>45</v>
      </c>
      <c r="C8" s="42">
        <v>72481</v>
      </c>
      <c r="D8" s="42">
        <v>43759</v>
      </c>
      <c r="E8" s="16">
        <f t="shared" ref="E8:E13" si="0">D8/C8</f>
        <v>0.60373063285550699</v>
      </c>
      <c r="F8" s="42">
        <v>45584</v>
      </c>
      <c r="G8" s="16">
        <f t="shared" ref="G8:G13" si="1">F8/C8</f>
        <v>0.62890964528635096</v>
      </c>
      <c r="H8" s="42">
        <v>35191</v>
      </c>
      <c r="I8" s="16">
        <f t="shared" ref="I8:I13" si="2">H8/C8</f>
        <v>0.4855203432623722</v>
      </c>
      <c r="J8" s="42">
        <v>32043</v>
      </c>
      <c r="K8" s="42">
        <v>39822</v>
      </c>
      <c r="L8" s="43">
        <v>-21150</v>
      </c>
      <c r="M8" s="18">
        <f t="shared" ref="M8:M13" si="3">K8+L8</f>
        <v>18672</v>
      </c>
      <c r="N8" s="16">
        <f t="shared" ref="N8:N13" si="4">IF(M8=0,"-",M8/C8)</f>
        <v>0.257612339785599</v>
      </c>
      <c r="O8" t="s">
        <v>85</v>
      </c>
    </row>
    <row r="9" spans="1:15" ht="15" customHeight="1" x14ac:dyDescent="0.25">
      <c r="A9" s="11" t="s">
        <v>47</v>
      </c>
      <c r="B9" s="11" t="s">
        <v>48</v>
      </c>
      <c r="C9" s="42">
        <v>248904</v>
      </c>
      <c r="D9" s="42">
        <v>98016</v>
      </c>
      <c r="E9" s="16">
        <f t="shared" si="0"/>
        <v>0.39379037701282421</v>
      </c>
      <c r="F9" s="42">
        <v>67543</v>
      </c>
      <c r="G9" s="16">
        <f t="shared" si="1"/>
        <v>0.27136164947128211</v>
      </c>
      <c r="H9" s="42">
        <v>32531</v>
      </c>
      <c r="I9" s="16">
        <f t="shared" si="2"/>
        <v>0.13069697554077073</v>
      </c>
      <c r="J9" s="42">
        <v>33729</v>
      </c>
      <c r="K9" s="42">
        <v>63654</v>
      </c>
      <c r="L9" s="43">
        <v>-38790</v>
      </c>
      <c r="M9" s="18">
        <f t="shared" si="3"/>
        <v>24864</v>
      </c>
      <c r="N9" s="16">
        <f t="shared" si="4"/>
        <v>9.9893935011088619E-2</v>
      </c>
      <c r="O9" t="s">
        <v>85</v>
      </c>
    </row>
    <row r="10" spans="1:15" ht="15" customHeight="1" x14ac:dyDescent="0.25">
      <c r="A10" s="11" t="s">
        <v>49</v>
      </c>
      <c r="B10" s="11" t="s">
        <v>50</v>
      </c>
      <c r="C10" s="42">
        <v>15208</v>
      </c>
      <c r="D10" s="42">
        <v>7170</v>
      </c>
      <c r="E10" s="16">
        <f t="shared" si="0"/>
        <v>0.47146238821672803</v>
      </c>
      <c r="F10" s="42">
        <v>7689</v>
      </c>
      <c r="G10" s="16">
        <f t="shared" si="1"/>
        <v>0.50558916359810624</v>
      </c>
      <c r="H10" s="42">
        <v>5654</v>
      </c>
      <c r="I10" s="16">
        <f t="shared" si="2"/>
        <v>0.37177801157285639</v>
      </c>
      <c r="J10" s="42">
        <v>3607</v>
      </c>
      <c r="K10" s="42">
        <v>4011</v>
      </c>
      <c r="L10" s="43">
        <v>-1805</v>
      </c>
      <c r="M10" s="18">
        <f t="shared" si="3"/>
        <v>2206</v>
      </c>
      <c r="N10" s="16">
        <f t="shared" si="4"/>
        <v>0.14505523408732246</v>
      </c>
      <c r="O10" t="s">
        <v>86</v>
      </c>
    </row>
    <row r="11" spans="1:15" ht="15" customHeight="1" x14ac:dyDescent="0.25">
      <c r="A11" s="11" t="s">
        <v>52</v>
      </c>
      <c r="B11" s="11" t="s">
        <v>53</v>
      </c>
      <c r="C11" s="42">
        <v>20248</v>
      </c>
      <c r="D11" s="42">
        <v>14472</v>
      </c>
      <c r="E11" s="16">
        <f t="shared" si="0"/>
        <v>0.71473725800079024</v>
      </c>
      <c r="F11" s="42">
        <v>12617</v>
      </c>
      <c r="G11" s="16">
        <f t="shared" si="1"/>
        <v>0.62312327143421575</v>
      </c>
      <c r="H11" s="42">
        <v>12468</v>
      </c>
      <c r="I11" s="16">
        <f t="shared" si="2"/>
        <v>0.61576451995258796</v>
      </c>
      <c r="J11" s="42">
        <v>11423</v>
      </c>
      <c r="K11" s="42">
        <v>11671</v>
      </c>
      <c r="L11" s="43">
        <v>-177</v>
      </c>
      <c r="M11" s="18">
        <f t="shared" si="3"/>
        <v>11494</v>
      </c>
      <c r="N11" s="16">
        <f t="shared" si="4"/>
        <v>0.56766100355590676</v>
      </c>
      <c r="O11" t="s">
        <v>87</v>
      </c>
    </row>
    <row r="12" spans="1:15" ht="15" customHeight="1" x14ac:dyDescent="0.25">
      <c r="A12" s="11" t="s">
        <v>55</v>
      </c>
      <c r="B12" s="11" t="s">
        <v>56</v>
      </c>
      <c r="C12" s="42">
        <v>2105</v>
      </c>
      <c r="D12" s="42">
        <v>474</v>
      </c>
      <c r="E12" s="16">
        <f t="shared" si="0"/>
        <v>0.22517814726840854</v>
      </c>
      <c r="F12" s="42">
        <v>617</v>
      </c>
      <c r="G12" s="16">
        <f t="shared" si="1"/>
        <v>0.29311163895486936</v>
      </c>
      <c r="H12" s="42">
        <v>166</v>
      </c>
      <c r="I12" s="16">
        <f t="shared" si="2"/>
        <v>7.8859857482185269E-2</v>
      </c>
      <c r="J12" s="42">
        <v>209</v>
      </c>
      <c r="K12" s="42">
        <v>593</v>
      </c>
      <c r="L12" s="43">
        <v>-432</v>
      </c>
      <c r="M12" s="18">
        <f t="shared" si="3"/>
        <v>161</v>
      </c>
      <c r="N12" s="16">
        <f t="shared" si="4"/>
        <v>7.6484560570071261E-2</v>
      </c>
      <c r="O12" t="s">
        <v>88</v>
      </c>
    </row>
    <row r="13" spans="1:15" ht="15" customHeight="1" x14ac:dyDescent="0.25">
      <c r="A13" s="11" t="s">
        <v>58</v>
      </c>
      <c r="B13" s="11" t="s">
        <v>59</v>
      </c>
      <c r="C13" s="42">
        <v>12919</v>
      </c>
      <c r="D13" s="42">
        <v>6311</v>
      </c>
      <c r="E13" s="16">
        <f t="shared" si="0"/>
        <v>0.48850530226797739</v>
      </c>
      <c r="F13" s="42">
        <v>4974</v>
      </c>
      <c r="G13" s="16">
        <f t="shared" si="1"/>
        <v>0.38501431999380759</v>
      </c>
      <c r="H13" s="42">
        <v>4599</v>
      </c>
      <c r="I13" s="16">
        <f t="shared" si="2"/>
        <v>0.35598730551900304</v>
      </c>
      <c r="J13" s="42">
        <v>9424</v>
      </c>
      <c r="K13" s="42">
        <v>3929</v>
      </c>
      <c r="L13" s="43">
        <v>-418</v>
      </c>
      <c r="M13" s="18">
        <f t="shared" si="3"/>
        <v>3511</v>
      </c>
      <c r="N13" s="16">
        <f t="shared" si="4"/>
        <v>0.2717702608561034</v>
      </c>
      <c r="O13" t="s">
        <v>87</v>
      </c>
    </row>
    <row r="15" spans="1:15" ht="15" customHeight="1" x14ac:dyDescent="0.25">
      <c r="A15" s="13" t="s">
        <v>60</v>
      </c>
      <c r="C15" s="15">
        <f t="shared" ref="C15:N15" si="5">AVERAGE(C8:C13)</f>
        <v>61977.5</v>
      </c>
      <c r="D15" s="15">
        <f t="shared" si="5"/>
        <v>28367</v>
      </c>
      <c r="E15" s="19">
        <f t="shared" si="5"/>
        <v>0.48290068427037264</v>
      </c>
      <c r="F15" s="15">
        <f t="shared" si="5"/>
        <v>23170.666666666668</v>
      </c>
      <c r="G15" s="19">
        <f t="shared" si="5"/>
        <v>0.45118494812310522</v>
      </c>
      <c r="H15" s="15">
        <f t="shared" si="5"/>
        <v>15101.5</v>
      </c>
      <c r="I15" s="19">
        <f t="shared" si="5"/>
        <v>0.33976783555496254</v>
      </c>
      <c r="J15" s="15">
        <f t="shared" si="5"/>
        <v>15072.5</v>
      </c>
      <c r="K15" s="15">
        <f t="shared" si="5"/>
        <v>20613.333333333332</v>
      </c>
      <c r="L15" s="15">
        <f t="shared" si="5"/>
        <v>-10462</v>
      </c>
      <c r="M15" s="15">
        <f t="shared" si="5"/>
        <v>10151.333333333334</v>
      </c>
      <c r="N15" s="19">
        <f t="shared" si="5"/>
        <v>0.23641288897768195</v>
      </c>
    </row>
    <row r="16" spans="1:15" ht="15" customHeight="1" x14ac:dyDescent="0.25">
      <c r="A16" s="13" t="s">
        <v>61</v>
      </c>
      <c r="C16" s="15">
        <f t="shared" ref="C16:N16" si="6">MEDIAN(C8:C13)</f>
        <v>17728</v>
      </c>
      <c r="D16" s="15">
        <f t="shared" si="6"/>
        <v>10821</v>
      </c>
      <c r="E16" s="19">
        <f t="shared" si="6"/>
        <v>0.47998384524235271</v>
      </c>
      <c r="F16" s="15">
        <f t="shared" si="6"/>
        <v>10153</v>
      </c>
      <c r="G16" s="19">
        <f t="shared" si="6"/>
        <v>0.44530174179595694</v>
      </c>
      <c r="H16" s="15">
        <f t="shared" si="6"/>
        <v>9061</v>
      </c>
      <c r="I16" s="19">
        <f t="shared" si="6"/>
        <v>0.36388265854592972</v>
      </c>
      <c r="J16" s="15">
        <f t="shared" si="6"/>
        <v>10423.5</v>
      </c>
      <c r="K16" s="15">
        <f t="shared" si="6"/>
        <v>7841</v>
      </c>
      <c r="L16" s="15">
        <f t="shared" si="6"/>
        <v>-1118.5</v>
      </c>
      <c r="M16" s="15">
        <f t="shared" si="6"/>
        <v>7502.5</v>
      </c>
      <c r="N16" s="19">
        <f t="shared" si="6"/>
        <v>0.20133378693646073</v>
      </c>
    </row>
    <row r="17" spans="1:15" ht="15" customHeight="1" x14ac:dyDescent="0.25">
      <c r="A17" s="13" t="s">
        <v>62</v>
      </c>
      <c r="C17" s="15">
        <f t="shared" ref="C17:N17" si="7">MAX(C8:C13)</f>
        <v>248904</v>
      </c>
      <c r="D17" s="15">
        <f t="shared" si="7"/>
        <v>98016</v>
      </c>
      <c r="E17" s="19">
        <f t="shared" si="7"/>
        <v>0.71473725800079024</v>
      </c>
      <c r="F17" s="15">
        <f t="shared" si="7"/>
        <v>67543</v>
      </c>
      <c r="G17" s="19">
        <f t="shared" si="7"/>
        <v>0.62890964528635096</v>
      </c>
      <c r="H17" s="15">
        <f t="shared" si="7"/>
        <v>35191</v>
      </c>
      <c r="I17" s="19">
        <f t="shared" si="7"/>
        <v>0.61576451995258796</v>
      </c>
      <c r="J17" s="15">
        <f t="shared" si="7"/>
        <v>33729</v>
      </c>
      <c r="K17" s="15">
        <f t="shared" si="7"/>
        <v>63654</v>
      </c>
      <c r="L17" s="15">
        <f t="shared" si="7"/>
        <v>-177</v>
      </c>
      <c r="M17" s="15">
        <f t="shared" si="7"/>
        <v>24864</v>
      </c>
      <c r="N17" s="19">
        <f t="shared" si="7"/>
        <v>0.56766100355590676</v>
      </c>
    </row>
    <row r="18" spans="1:15" ht="15" customHeight="1" x14ac:dyDescent="0.25">
      <c r="A18" s="13" t="s">
        <v>63</v>
      </c>
      <c r="C18" s="15">
        <f t="shared" ref="C18:N18" si="8">MIN(C8:C13)</f>
        <v>2105</v>
      </c>
      <c r="D18" s="15">
        <f t="shared" si="8"/>
        <v>474</v>
      </c>
      <c r="E18" s="19">
        <f t="shared" si="8"/>
        <v>0.22517814726840854</v>
      </c>
      <c r="F18" s="15">
        <f t="shared" si="8"/>
        <v>617</v>
      </c>
      <c r="G18" s="19">
        <f t="shared" si="8"/>
        <v>0.27136164947128211</v>
      </c>
      <c r="H18" s="15">
        <f t="shared" si="8"/>
        <v>166</v>
      </c>
      <c r="I18" s="19">
        <f t="shared" si="8"/>
        <v>7.8859857482185269E-2</v>
      </c>
      <c r="J18" s="15">
        <f t="shared" si="8"/>
        <v>209</v>
      </c>
      <c r="K18" s="15">
        <f t="shared" si="8"/>
        <v>593</v>
      </c>
      <c r="L18" s="15">
        <f t="shared" si="8"/>
        <v>-38790</v>
      </c>
      <c r="M18" s="15">
        <f t="shared" si="8"/>
        <v>161</v>
      </c>
      <c r="N18" s="19">
        <f t="shared" si="8"/>
        <v>7.6484560570071261E-2</v>
      </c>
    </row>
    <row r="20" spans="1:15" ht="15" customHeight="1" x14ac:dyDescent="0.25">
      <c r="A20" s="53" t="s">
        <v>89</v>
      </c>
    </row>
    <row r="21" spans="1:15" ht="32.1" customHeight="1" x14ac:dyDescent="0.25">
      <c r="A21" s="69" t="s">
        <v>90</v>
      </c>
      <c r="B21" s="69" t="s">
        <v>29</v>
      </c>
      <c r="C21" s="69" t="s">
        <v>91</v>
      </c>
      <c r="D21" s="69" t="s">
        <v>92</v>
      </c>
      <c r="E21" s="69" t="s">
        <v>93</v>
      </c>
      <c r="F21" s="69" t="s">
        <v>94</v>
      </c>
      <c r="G21" s="69" t="s">
        <v>95</v>
      </c>
      <c r="H21" s="69" t="s">
        <v>96</v>
      </c>
      <c r="I21" s="69" t="s">
        <v>97</v>
      </c>
      <c r="J21" s="69" t="s">
        <v>98</v>
      </c>
      <c r="K21" s="5"/>
      <c r="L21" s="5"/>
      <c r="M21" s="5"/>
      <c r="N21" s="5"/>
      <c r="O21" s="5"/>
    </row>
    <row r="22" spans="1:15" ht="15" customHeight="1" x14ac:dyDescent="0.25">
      <c r="A22" s="70" t="s">
        <v>42</v>
      </c>
      <c r="B22" s="70" t="s">
        <v>43</v>
      </c>
      <c r="C22" s="71" t="s">
        <v>99</v>
      </c>
      <c r="D22" s="72">
        <v>-0.5</v>
      </c>
      <c r="E22" s="71">
        <v>250548</v>
      </c>
      <c r="F22" s="73">
        <v>228137.1</v>
      </c>
      <c r="G22" s="74">
        <v>155.25</v>
      </c>
      <c r="H22" s="75">
        <f>IFERROR(F22/E22,"")</f>
        <v>0.91055246898797837</v>
      </c>
      <c r="I22" s="76">
        <v>4.55</v>
      </c>
      <c r="J22" s="76">
        <v>4.53</v>
      </c>
    </row>
    <row r="23" spans="1:15" ht="15" customHeight="1" x14ac:dyDescent="0.25">
      <c r="A23" s="11"/>
      <c r="C23" s="61"/>
      <c r="D23" s="61"/>
      <c r="E23" s="61"/>
      <c r="F23" s="61"/>
      <c r="G23" s="61"/>
      <c r="H23" s="61"/>
      <c r="I23" s="61"/>
      <c r="J23" s="61"/>
    </row>
    <row r="24" spans="1:15" ht="15" customHeight="1" x14ac:dyDescent="0.25">
      <c r="A24" s="11" t="s">
        <v>44</v>
      </c>
      <c r="B24" s="11" t="s">
        <v>45</v>
      </c>
      <c r="C24" s="58" t="s">
        <v>100</v>
      </c>
      <c r="D24" s="77">
        <v>3.5</v>
      </c>
      <c r="E24" s="58">
        <v>353870.4</v>
      </c>
      <c r="F24" s="78">
        <v>292927.40000000002</v>
      </c>
      <c r="G24" s="59">
        <v>323.07</v>
      </c>
      <c r="H24" s="60">
        <f t="shared" ref="H24:H29" si="9">IFERROR(F24/E24,"")</f>
        <v>0.82778158331411722</v>
      </c>
      <c r="I24" s="79">
        <v>2.72</v>
      </c>
      <c r="J24" s="79">
        <v>3.02</v>
      </c>
    </row>
    <row r="25" spans="1:15" ht="15" customHeight="1" x14ac:dyDescent="0.25">
      <c r="A25" s="11" t="s">
        <v>47</v>
      </c>
      <c r="B25" s="11" t="s">
        <v>48</v>
      </c>
      <c r="C25" s="58" t="s">
        <v>100</v>
      </c>
      <c r="D25" s="77">
        <v>3.5</v>
      </c>
      <c r="E25" s="58">
        <v>672199.6</v>
      </c>
      <c r="F25" s="78">
        <v>419369.1</v>
      </c>
      <c r="G25" s="59">
        <v>47.18</v>
      </c>
      <c r="H25" s="60">
        <f t="shared" si="9"/>
        <v>0.62387585473124352</v>
      </c>
      <c r="I25" s="79">
        <v>2.5299999999999998</v>
      </c>
      <c r="J25" s="79">
        <v>2.77</v>
      </c>
    </row>
    <row r="26" spans="1:15" ht="15" customHeight="1" x14ac:dyDescent="0.25">
      <c r="A26" s="11" t="s">
        <v>49</v>
      </c>
      <c r="B26" s="11" t="s">
        <v>50</v>
      </c>
      <c r="C26" s="58" t="s">
        <v>101</v>
      </c>
      <c r="D26" s="77">
        <v>-5.6</v>
      </c>
      <c r="E26" s="58">
        <v>74498</v>
      </c>
      <c r="F26" s="78">
        <v>60685.8</v>
      </c>
      <c r="G26" s="59">
        <v>77.069999999999993</v>
      </c>
      <c r="H26" s="60">
        <f t="shared" si="9"/>
        <v>0.81459636500308741</v>
      </c>
      <c r="I26" s="79">
        <v>3.51</v>
      </c>
      <c r="J26" s="79">
        <v>3.12</v>
      </c>
    </row>
    <row r="27" spans="1:15" ht="15" customHeight="1" x14ac:dyDescent="0.25">
      <c r="A27" s="11" t="s">
        <v>52</v>
      </c>
      <c r="B27" s="11" t="s">
        <v>53</v>
      </c>
      <c r="C27" s="58" t="s">
        <v>102</v>
      </c>
      <c r="D27" s="77">
        <v>-2.5</v>
      </c>
      <c r="E27" s="58">
        <v>51027</v>
      </c>
      <c r="F27" s="78">
        <v>41351.4</v>
      </c>
      <c r="G27" s="59">
        <v>232.95</v>
      </c>
      <c r="H27" s="60">
        <f t="shared" si="9"/>
        <v>0.81038273855017939</v>
      </c>
      <c r="I27" s="79">
        <v>5.85</v>
      </c>
      <c r="J27" s="79">
        <v>5.62</v>
      </c>
    </row>
    <row r="28" spans="1:15" ht="15" customHeight="1" x14ac:dyDescent="0.25">
      <c r="A28" s="11" t="s">
        <v>55</v>
      </c>
      <c r="B28" s="11" t="s">
        <v>56</v>
      </c>
      <c r="C28" s="58" t="s">
        <v>100</v>
      </c>
      <c r="D28" s="77">
        <v>3.5</v>
      </c>
      <c r="E28" s="58">
        <v>15475.5</v>
      </c>
      <c r="F28" s="78">
        <v>12036.8</v>
      </c>
      <c r="G28" s="59">
        <v>2.91</v>
      </c>
      <c r="H28" s="60">
        <f t="shared" si="9"/>
        <v>0.77779716325805304</v>
      </c>
      <c r="I28" s="79">
        <v>3.36</v>
      </c>
      <c r="J28" s="79">
        <v>3.75</v>
      </c>
    </row>
    <row r="29" spans="1:15" ht="15" customHeight="1" x14ac:dyDescent="0.25">
      <c r="A29" s="11" t="s">
        <v>58</v>
      </c>
      <c r="B29" s="11" t="s">
        <v>59</v>
      </c>
      <c r="C29" s="58" t="s">
        <v>102</v>
      </c>
      <c r="D29" s="77">
        <v>-2.5</v>
      </c>
      <c r="E29" s="58">
        <v>20707.8</v>
      </c>
      <c r="F29" s="78">
        <v>11350.8</v>
      </c>
      <c r="G29" s="59">
        <v>22.49</v>
      </c>
      <c r="H29" s="60">
        <f t="shared" si="9"/>
        <v>0.54814128009735463</v>
      </c>
      <c r="I29" s="79">
        <v>15.44</v>
      </c>
      <c r="J29" s="79">
        <v>13.85</v>
      </c>
    </row>
    <row r="31" spans="1:15" ht="15" customHeight="1" x14ac:dyDescent="0.25">
      <c r="A31" s="80" t="s">
        <v>60</v>
      </c>
      <c r="C31" s="62"/>
      <c r="D31" s="63"/>
      <c r="E31" s="81">
        <f t="shared" ref="E31:J31" si="10">IFERROR(AVERAGE(E24:E29),"")</f>
        <v>197963.05000000002</v>
      </c>
      <c r="F31" s="81">
        <f t="shared" si="10"/>
        <v>139620.2166666667</v>
      </c>
      <c r="G31" s="82">
        <f t="shared" si="10"/>
        <v>117.61166666666666</v>
      </c>
      <c r="H31" s="83">
        <f t="shared" si="10"/>
        <v>0.73376249749233924</v>
      </c>
      <c r="I31" s="84">
        <f t="shared" si="10"/>
        <v>5.5683333333333325</v>
      </c>
      <c r="J31" s="84">
        <f t="shared" si="10"/>
        <v>5.3550000000000004</v>
      </c>
    </row>
    <row r="32" spans="1:15" ht="15" customHeight="1" x14ac:dyDescent="0.25">
      <c r="A32" s="80" t="s">
        <v>61</v>
      </c>
      <c r="C32" s="62"/>
      <c r="D32" s="63"/>
      <c r="E32" s="81">
        <f t="shared" ref="E32:J32" si="11">IFERROR(MEDIAN(E24:E29),"")</f>
        <v>62762.5</v>
      </c>
      <c r="F32" s="81">
        <f t="shared" si="11"/>
        <v>51018.600000000006</v>
      </c>
      <c r="G32" s="82">
        <f t="shared" si="11"/>
        <v>62.125</v>
      </c>
      <c r="H32" s="83">
        <f t="shared" si="11"/>
        <v>0.79408995090411616</v>
      </c>
      <c r="I32" s="84">
        <f t="shared" si="11"/>
        <v>3.4349999999999996</v>
      </c>
      <c r="J32" s="84">
        <f t="shared" si="11"/>
        <v>3.4350000000000001</v>
      </c>
    </row>
    <row r="33" spans="1:15" x14ac:dyDescent="0.25">
      <c r="A33" s="53" t="s">
        <v>103</v>
      </c>
      <c r="I33" s="85">
        <f>IFERROR((I22/I32)-1,"")</f>
        <v>0.32459970887918499</v>
      </c>
      <c r="J33" s="85">
        <f>IFERROR((J22/J32)-1,"")</f>
        <v>0.31877729257641918</v>
      </c>
    </row>
    <row r="34" spans="1:15" x14ac:dyDescent="0.25">
      <c r="A34" s="55"/>
    </row>
    <row r="35" spans="1:15" ht="15" customHeight="1" x14ac:dyDescent="0.25">
      <c r="A35" s="53" t="s">
        <v>104</v>
      </c>
    </row>
    <row r="36" spans="1:15" ht="15" customHeight="1" x14ac:dyDescent="0.25">
      <c r="A36" s="87"/>
      <c r="B36" s="5" t="s">
        <v>29</v>
      </c>
      <c r="C36" s="5" t="s">
        <v>105</v>
      </c>
      <c r="D36" s="5" t="s">
        <v>106</v>
      </c>
      <c r="E36" s="5" t="s">
        <v>107</v>
      </c>
      <c r="F36" s="5" t="s">
        <v>108</v>
      </c>
      <c r="G36" s="5" t="s">
        <v>109</v>
      </c>
      <c r="H36" s="5" t="s">
        <v>110</v>
      </c>
      <c r="I36" s="5" t="s">
        <v>111</v>
      </c>
      <c r="J36" s="5" t="s">
        <v>112</v>
      </c>
      <c r="K36" s="5"/>
      <c r="L36" s="5"/>
      <c r="M36" s="5"/>
      <c r="N36" s="5"/>
      <c r="O36" s="5"/>
    </row>
    <row r="37" spans="1:15" ht="15" customHeight="1" x14ac:dyDescent="0.25">
      <c r="A37" s="88" t="s">
        <v>42</v>
      </c>
      <c r="B37" s="6" t="s">
        <v>43</v>
      </c>
      <c r="C37" s="64">
        <v>6.7100000000000007E-2</v>
      </c>
      <c r="D37" s="64">
        <v>2.76E-2</v>
      </c>
      <c r="E37" s="64">
        <v>0.14080000000000001</v>
      </c>
      <c r="F37" s="64">
        <v>0.11219999999999999</v>
      </c>
      <c r="G37" s="20">
        <f>('Market Data'!F8-'Market Data'!G8)/'Financial Data'!F6</f>
        <v>-0.35863099598558329</v>
      </c>
      <c r="H37" s="65">
        <v>20.7</v>
      </c>
      <c r="I37" s="56">
        <v>50500</v>
      </c>
      <c r="J37" s="12">
        <f>IFERROR('Financial Data'!C6/I37*1000,"")</f>
        <v>1787.6039603960396</v>
      </c>
    </row>
    <row r="38" spans="1:15" ht="15" customHeight="1" x14ac:dyDescent="0.25">
      <c r="A38" s="86"/>
    </row>
    <row r="39" spans="1:15" ht="15" customHeight="1" x14ac:dyDescent="0.25">
      <c r="A39" s="86" t="s">
        <v>44</v>
      </c>
      <c r="B39" s="11" t="s">
        <v>45</v>
      </c>
      <c r="C39" s="64">
        <v>0.29609999999999997</v>
      </c>
      <c r="D39" s="64">
        <v>0.42849999999999999</v>
      </c>
      <c r="E39" s="64">
        <v>0.35709999999999997</v>
      </c>
      <c r="F39" s="64">
        <v>0.29020000000000001</v>
      </c>
      <c r="G39" s="44">
        <v>-0.17</v>
      </c>
      <c r="H39" s="65">
        <v>51.1</v>
      </c>
      <c r="I39" s="31"/>
      <c r="J39" s="12" t="str">
        <f>IFERROR('Financial Data'!C8/I39*1000,"")</f>
        <v/>
      </c>
    </row>
    <row r="40" spans="1:15" ht="15" customHeight="1" x14ac:dyDescent="0.25">
      <c r="A40" s="86" t="s">
        <v>47</v>
      </c>
      <c r="B40" s="11" t="s">
        <v>48</v>
      </c>
      <c r="C40" s="64">
        <v>3.3500000000000002E-2</v>
      </c>
      <c r="D40" s="64">
        <v>3.15E-2</v>
      </c>
      <c r="E40" s="64">
        <v>0.10150000000000001</v>
      </c>
      <c r="F40" s="64">
        <v>8.3599999999999994E-2</v>
      </c>
      <c r="G40" s="44">
        <v>-1.1100000000000001</v>
      </c>
      <c r="H40" s="65">
        <v>72</v>
      </c>
      <c r="I40" s="31"/>
      <c r="J40" s="12" t="str">
        <f>IFERROR('Financial Data'!C9/I40*1000,"")</f>
        <v/>
      </c>
    </row>
    <row r="41" spans="1:15" ht="15" customHeight="1" x14ac:dyDescent="0.25">
      <c r="A41" s="86" t="s">
        <v>49</v>
      </c>
      <c r="B41" s="11" t="s">
        <v>50</v>
      </c>
      <c r="C41" s="64">
        <v>0.22170000000000001</v>
      </c>
      <c r="D41" s="64">
        <v>0.54449999999999998</v>
      </c>
      <c r="E41" s="64">
        <v>0.27589999999999998</v>
      </c>
      <c r="F41" s="64">
        <v>0.1678</v>
      </c>
      <c r="G41" s="44">
        <v>0.66</v>
      </c>
      <c r="H41" s="65">
        <v>12</v>
      </c>
      <c r="I41" s="56">
        <v>15130</v>
      </c>
      <c r="J41" s="12">
        <f>IFERROR('Financial Data'!C10/I41*1000,"")</f>
        <v>1005.1553205551884</v>
      </c>
    </row>
    <row r="42" spans="1:15" ht="15" customHeight="1" x14ac:dyDescent="0.25">
      <c r="A42" s="11" t="s">
        <v>52</v>
      </c>
      <c r="B42" s="11" t="s">
        <v>53</v>
      </c>
      <c r="C42" s="64">
        <v>0.4929</v>
      </c>
      <c r="D42" s="35"/>
      <c r="E42" s="64">
        <v>0.85799999999999998</v>
      </c>
      <c r="F42" s="64">
        <v>0.64370000000000005</v>
      </c>
      <c r="G42" s="44">
        <v>-0.38</v>
      </c>
      <c r="H42" s="65">
        <v>170.8</v>
      </c>
      <c r="I42" s="56">
        <v>11050</v>
      </c>
      <c r="J42" s="12">
        <f>IFERROR('Financial Data'!C11/I42*1000,"")</f>
        <v>1832.3981900452488</v>
      </c>
    </row>
    <row r="43" spans="1:15" ht="15" customHeight="1" x14ac:dyDescent="0.25">
      <c r="A43" s="11" t="s">
        <v>55</v>
      </c>
      <c r="B43" s="11" t="s">
        <v>56</v>
      </c>
      <c r="C43" s="64">
        <v>5.3499999999999999E-2</v>
      </c>
      <c r="D43" s="64">
        <v>-9.3899999999999997E-2</v>
      </c>
      <c r="E43" s="64">
        <v>3.6499999999999998E-2</v>
      </c>
      <c r="F43" s="64">
        <v>3.1899999999999998E-2</v>
      </c>
      <c r="G43" s="44">
        <v>-1.76</v>
      </c>
      <c r="H43" s="65">
        <v>9.1999999999999993</v>
      </c>
      <c r="I43" s="31"/>
      <c r="J43" s="12" t="str">
        <f>IFERROR('Financial Data'!C12/I43*1000,"")</f>
        <v/>
      </c>
    </row>
    <row r="44" spans="1:15" ht="15" customHeight="1" x14ac:dyDescent="0.25">
      <c r="A44" s="11" t="s">
        <v>58</v>
      </c>
      <c r="B44" s="11" t="s">
        <v>59</v>
      </c>
      <c r="C44" s="64">
        <v>0.27350000000000002</v>
      </c>
      <c r="D44" s="35"/>
      <c r="E44" s="64">
        <v>0.95020000000000004</v>
      </c>
      <c r="F44" s="64">
        <v>0.67649999999999999</v>
      </c>
      <c r="G44" s="44">
        <v>-0.11</v>
      </c>
      <c r="H44" s="65">
        <v>27.9</v>
      </c>
      <c r="I44" s="56">
        <v>40000</v>
      </c>
      <c r="J44" s="12">
        <f>IFERROR('Financial Data'!C13/I44*1000,"")</f>
        <v>322.97500000000002</v>
      </c>
    </row>
    <row r="46" spans="1:15" ht="15" customHeight="1" x14ac:dyDescent="0.25">
      <c r="A46" s="13" t="s">
        <v>60</v>
      </c>
      <c r="C46" s="19">
        <f t="shared" ref="C46:J46" si="12">IFERROR(AVERAGE(C39:C44),"")</f>
        <v>0.22853333333333337</v>
      </c>
      <c r="D46" s="19">
        <f t="shared" si="12"/>
        <v>0.22764999999999999</v>
      </c>
      <c r="E46" s="19">
        <f t="shared" si="12"/>
        <v>0.42986666666666662</v>
      </c>
      <c r="F46" s="19">
        <f t="shared" si="12"/>
        <v>0.31561666666666671</v>
      </c>
      <c r="G46" s="21">
        <f t="shared" si="12"/>
        <v>-0.47833333333333328</v>
      </c>
      <c r="H46" s="21">
        <f t="shared" si="12"/>
        <v>57.166666666666657</v>
      </c>
      <c r="I46" s="15">
        <f t="shared" si="12"/>
        <v>22060</v>
      </c>
      <c r="J46" s="15">
        <f t="shared" si="12"/>
        <v>1053.5095035334791</v>
      </c>
    </row>
    <row r="47" spans="1:15" ht="15" customHeight="1" x14ac:dyDescent="0.25">
      <c r="A47" s="13" t="s">
        <v>61</v>
      </c>
      <c r="C47" s="19">
        <f t="shared" ref="C47:J47" si="13">IFERROR(MEDIAN(C39:C44),"")</f>
        <v>0.24760000000000001</v>
      </c>
      <c r="D47" s="19">
        <f t="shared" si="13"/>
        <v>0.23</v>
      </c>
      <c r="E47" s="19">
        <f t="shared" si="13"/>
        <v>0.3165</v>
      </c>
      <c r="F47" s="19">
        <f t="shared" si="13"/>
        <v>0.22900000000000001</v>
      </c>
      <c r="G47" s="21">
        <f t="shared" si="13"/>
        <v>-0.27500000000000002</v>
      </c>
      <c r="H47" s="21">
        <f t="shared" si="13"/>
        <v>39.5</v>
      </c>
      <c r="I47" s="15">
        <f t="shared" si="13"/>
        <v>15130</v>
      </c>
      <c r="J47" s="15">
        <f t="shared" si="13"/>
        <v>1005.1553205551884</v>
      </c>
    </row>
    <row r="49" spans="1:1" x14ac:dyDescent="0.25">
      <c r="A49" s="53" t="s">
        <v>113</v>
      </c>
    </row>
    <row r="50" spans="1:1" x14ac:dyDescent="0.25">
      <c r="A50" s="86" t="s">
        <v>114</v>
      </c>
    </row>
    <row r="51" spans="1:1" x14ac:dyDescent="0.25">
      <c r="A51" s="86" t="s">
        <v>115</v>
      </c>
    </row>
    <row r="52" spans="1:1" x14ac:dyDescent="0.25">
      <c r="A52" s="86" t="s">
        <v>116</v>
      </c>
    </row>
    <row r="53" spans="1:1" x14ac:dyDescent="0.25">
      <c r="A53" s="86" t="s">
        <v>117</v>
      </c>
    </row>
    <row r="54" spans="1:1" x14ac:dyDescent="0.25">
      <c r="A54" s="86" t="s">
        <v>118</v>
      </c>
    </row>
    <row r="55" spans="1:1" x14ac:dyDescent="0.25">
      <c r="A55" s="86" t="s">
        <v>119</v>
      </c>
    </row>
    <row r="56" spans="1:1" x14ac:dyDescent="0.25">
      <c r="A56" s="86" t="s">
        <v>120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J43"/>
  <sheetViews>
    <sheetView zoomScaleNormal="100" workbookViewId="0">
      <selection activeCell="E16" sqref="E16"/>
    </sheetView>
  </sheetViews>
  <sheetFormatPr defaultColWidth="8.7109375" defaultRowHeight="15" x14ac:dyDescent="0.25"/>
  <cols>
    <col min="1" max="1" width="38" customWidth="1"/>
    <col min="2" max="2" width="10" customWidth="1"/>
    <col min="3" max="10" width="14" customWidth="1"/>
  </cols>
  <sheetData>
    <row r="1" spans="1:10" ht="17.25" customHeight="1" x14ac:dyDescent="0.25">
      <c r="A1" s="1" t="s">
        <v>24</v>
      </c>
    </row>
    <row r="2" spans="1:10" ht="15" customHeight="1" x14ac:dyDescent="0.25">
      <c r="A2" s="2" t="s">
        <v>25</v>
      </c>
    </row>
    <row r="4" spans="1:10" ht="15" customHeight="1" x14ac:dyDescent="0.25">
      <c r="A4" s="4" t="s">
        <v>121</v>
      </c>
    </row>
    <row r="5" spans="1:10" ht="15" customHeight="1" x14ac:dyDescent="0.25">
      <c r="A5" s="5"/>
      <c r="B5" s="5" t="s">
        <v>29</v>
      </c>
      <c r="C5" s="5" t="s">
        <v>122</v>
      </c>
      <c r="D5" s="5" t="s">
        <v>123</v>
      </c>
      <c r="E5" s="5" t="s">
        <v>124</v>
      </c>
      <c r="F5" s="5" t="s">
        <v>125</v>
      </c>
      <c r="G5" s="5" t="s">
        <v>126</v>
      </c>
      <c r="H5" s="5" t="s">
        <v>127</v>
      </c>
      <c r="I5" s="5" t="s">
        <v>128</v>
      </c>
      <c r="J5" s="5"/>
    </row>
    <row r="6" spans="1:10" ht="15" customHeight="1" x14ac:dyDescent="0.25">
      <c r="A6" s="6" t="s">
        <v>42</v>
      </c>
      <c r="B6" s="6" t="s">
        <v>43</v>
      </c>
      <c r="C6" s="20">
        <f>IFERROR('Market Data'!J8/'Financial Data'!C6,"")</f>
        <v>11.448881737820411</v>
      </c>
      <c r="D6" s="20">
        <f>IFERROR('Market Data'!J8/'Financial Data'!D6,"")</f>
        <v>15.777976490344246</v>
      </c>
      <c r="E6" s="20">
        <f>IFERROR('Market Data'!J8/'Financial Data'!F6,"")</f>
        <v>15.142502270929175</v>
      </c>
      <c r="F6" s="20">
        <f>IFERROR('Market Data'!J8/'Financial Data'!H6,"")</f>
        <v>17.50154688928777</v>
      </c>
      <c r="G6" s="20">
        <f>IFERROR('Market Data'!E8/'Financial Data'!J6,"")</f>
        <v>20.963647981929498</v>
      </c>
      <c r="H6" s="22" t="s">
        <v>129</v>
      </c>
      <c r="I6" s="16">
        <f>IFERROR('Financial Data'!M6/'Market Data'!E8,"")</f>
        <v>2.4736904560888048E-2</v>
      </c>
    </row>
    <row r="7" spans="1:10" ht="15" customHeight="1" x14ac:dyDescent="0.25">
      <c r="A7" s="11"/>
    </row>
    <row r="8" spans="1:10" ht="15" customHeight="1" x14ac:dyDescent="0.25">
      <c r="A8" s="11" t="s">
        <v>44</v>
      </c>
      <c r="B8" s="11" t="s">
        <v>45</v>
      </c>
      <c r="C8" s="20">
        <f>IFERROR('Market Data'!J10/'Financial Data'!C8,"")</f>
        <v>12.202559429367696</v>
      </c>
      <c r="D8" s="20">
        <f>IFERROR('Market Data'!J10/'Financial Data'!D8,"")</f>
        <v>20.211926917891176</v>
      </c>
      <c r="E8" s="20">
        <f>IFERROR('Market Data'!J10/'Financial Data'!F8,"")</f>
        <v>19.402722665847666</v>
      </c>
      <c r="F8" s="20">
        <f>IFERROR('Market Data'!J10/'Financial Data'!H8,"")</f>
        <v>25.132951891108522</v>
      </c>
      <c r="G8" s="20">
        <f>IFERROR('Market Data'!E10/'Financial Data'!J8,"")</f>
        <v>27.838458009549665</v>
      </c>
      <c r="H8" s="20">
        <f>IFERROR('Market Data'!E10/'Financial Data'!M8,"")</f>
        <v>47.773549164524418</v>
      </c>
      <c r="I8" s="16">
        <f>IFERROR('Financial Data'!M8/'Market Data'!E10,"")</f>
        <v>2.0932085170313825E-2</v>
      </c>
    </row>
    <row r="9" spans="1:10" ht="15" customHeight="1" x14ac:dyDescent="0.25">
      <c r="A9" s="11" t="s">
        <v>47</v>
      </c>
      <c r="B9" s="11" t="s">
        <v>48</v>
      </c>
      <c r="C9" s="20">
        <f>IFERROR('Market Data'!J11/'Financial Data'!C9,"")</f>
        <v>4.6664796065953134</v>
      </c>
      <c r="D9" s="20">
        <f>IFERROR('Market Data'!J11/'Financial Data'!D9,"")</f>
        <v>11.850161606268363</v>
      </c>
      <c r="E9" s="20">
        <f>IFERROR('Market Data'!J11/'Financial Data'!F9,"")</f>
        <v>17.196533171461141</v>
      </c>
      <c r="F9" s="20">
        <f>IFERROR('Market Data'!J11/'Financial Data'!H9,"")</f>
        <v>35.704572254157569</v>
      </c>
      <c r="G9" s="20">
        <f>IFERROR('Market Data'!E11/'Financial Data'!J9,"")</f>
        <v>36.661906371371813</v>
      </c>
      <c r="H9" s="20">
        <f>IFERROR('Market Data'!E11/'Financial Data'!M9,"")</f>
        <v>49.733326898326894</v>
      </c>
      <c r="I9" s="16">
        <f>IFERROR('Financial Data'!M9/'Market Data'!E11,"")</f>
        <v>2.0107241207578282E-2</v>
      </c>
    </row>
    <row r="10" spans="1:10" ht="15" customHeight="1" x14ac:dyDescent="0.25">
      <c r="A10" s="11" t="s">
        <v>49</v>
      </c>
      <c r="B10" s="11" t="s">
        <v>50</v>
      </c>
      <c r="C10" s="20">
        <f>IFERROR('Market Data'!J12/'Financial Data'!C10,"")</f>
        <v>12.435081536033664</v>
      </c>
      <c r="D10" s="20">
        <f>IFERROR('Market Data'!J12/'Financial Data'!D10,"")</f>
        <v>26.375553695955364</v>
      </c>
      <c r="E10" s="20">
        <f>IFERROR('Market Data'!J12/'Financial Data'!F10,"")</f>
        <v>24.595229548705941</v>
      </c>
      <c r="F10" s="20">
        <f>IFERROR('Market Data'!J12/'Financial Data'!H10,"")</f>
        <v>33.447598160594268</v>
      </c>
      <c r="G10" s="20">
        <f>IFERROR('Market Data'!E12/'Financial Data'!J10,"")</f>
        <v>51.030973107845846</v>
      </c>
      <c r="H10" s="20">
        <f>IFERROR('Market Data'!E12/'Financial Data'!M10,"")</f>
        <v>83.440036264732541</v>
      </c>
      <c r="I10" s="16">
        <f>IFERROR('Financial Data'!M10/'Market Data'!E12,"")</f>
        <v>1.1984654426890133E-2</v>
      </c>
    </row>
    <row r="11" spans="1:10" ht="15" customHeight="1" x14ac:dyDescent="0.25">
      <c r="A11" s="11" t="s">
        <v>52</v>
      </c>
      <c r="B11" s="11" t="s">
        <v>53</v>
      </c>
      <c r="C11" s="20">
        <f>IFERROR('Market Data'!J13/'Financial Data'!C11,"")</f>
        <v>11.483897175029632</v>
      </c>
      <c r="D11" s="20">
        <f>IFERROR('Market Data'!J13/'Financial Data'!D11,"")</f>
        <v>16.067298922056384</v>
      </c>
      <c r="E11" s="20">
        <f>IFERROR('Market Data'!J13/'Financial Data'!F11,"")</f>
        <v>18.42957517634937</v>
      </c>
      <c r="F11" s="20">
        <f>IFERROR('Market Data'!J13/'Financial Data'!H11,"")</f>
        <v>18.649819538017326</v>
      </c>
      <c r="G11" s="20">
        <f>IFERROR('Market Data'!E13/'Financial Data'!J11,"")</f>
        <v>20.772822375908255</v>
      </c>
      <c r="H11" s="20">
        <f>IFERROR('Market Data'!E13/'Financial Data'!M11,"")</f>
        <v>20.644505829128242</v>
      </c>
      <c r="I11" s="16">
        <f>IFERROR('Financial Data'!M11/'Market Data'!E13,"")</f>
        <v>4.8439037886247489E-2</v>
      </c>
    </row>
    <row r="12" spans="1:10" ht="15" customHeight="1" x14ac:dyDescent="0.25">
      <c r="A12" s="11" t="s">
        <v>55</v>
      </c>
      <c r="B12" s="11" t="s">
        <v>56</v>
      </c>
      <c r="C12" s="20">
        <f>IFERROR('Market Data'!J14/'Financial Data'!C12,"")</f>
        <v>21.434356294536816</v>
      </c>
      <c r="D12" s="20">
        <f>IFERROR('Market Data'!J14/'Financial Data'!D12,"")</f>
        <v>95.188438818565402</v>
      </c>
      <c r="E12" s="20">
        <f>IFERROR('Market Data'!J14/'Financial Data'!F12,"")</f>
        <v>73.126936790923821</v>
      </c>
      <c r="F12" s="20">
        <f>IFERROR('Market Data'!J14/'Financial Data'!H12,"")</f>
        <v>271.80313253012048</v>
      </c>
      <c r="G12" s="20">
        <f>IFERROR('Market Data'!E14/'Financial Data'!J12,"")</f>
        <v>221.09244019138757</v>
      </c>
      <c r="H12" s="20">
        <f>IFERROR('Market Data'!E14/'Financial Data'!M12,"")</f>
        <v>287.00819875776398</v>
      </c>
      <c r="I12" s="16">
        <f>IFERROR('Financial Data'!M12/'Market Data'!E14,"")</f>
        <v>3.4842210234001148E-3</v>
      </c>
    </row>
    <row r="13" spans="1:10" ht="15" customHeight="1" x14ac:dyDescent="0.25">
      <c r="A13" s="11" t="s">
        <v>58</v>
      </c>
      <c r="B13" s="11" t="s">
        <v>59</v>
      </c>
      <c r="C13" s="20">
        <f>IFERROR('Market Data'!J15/'Financial Data'!C13,"")</f>
        <v>12.172279588203422</v>
      </c>
      <c r="D13" s="20">
        <f>IFERROR('Market Data'!J15/'Financial Data'!D13,"")</f>
        <v>24.917395024560289</v>
      </c>
      <c r="E13" s="20">
        <f>IFERROR('Market Data'!J15/'Financial Data'!F13,"")</f>
        <v>31.615134700442297</v>
      </c>
      <c r="F13" s="20">
        <f>IFERROR('Market Data'!J15/'Financial Data'!H13,"")</f>
        <v>34.193015873015874</v>
      </c>
      <c r="G13" s="20">
        <f>IFERROR('Market Data'!E15/'Financial Data'!J13,"")</f>
        <v>16.742432088285227</v>
      </c>
      <c r="H13" s="20">
        <f>IFERROR('Market Data'!E15/'Financial Data'!M13,"")</f>
        <v>44.938957561948158</v>
      </c>
      <c r="I13" s="16">
        <f>IFERROR('Financial Data'!M13/'Market Data'!E15,"")</f>
        <v>2.2252407582474612E-2</v>
      </c>
    </row>
    <row r="15" spans="1:10" ht="15" customHeight="1" x14ac:dyDescent="0.25">
      <c r="A15" s="13" t="s">
        <v>60</v>
      </c>
      <c r="C15" s="21">
        <f t="shared" ref="C15:I15" si="0">IFERROR(AVERAGE(C8:C13),"")</f>
        <v>12.399108938294424</v>
      </c>
      <c r="D15" s="21">
        <f t="shared" si="0"/>
        <v>32.435129164216164</v>
      </c>
      <c r="E15" s="21">
        <f t="shared" si="0"/>
        <v>30.727688675621707</v>
      </c>
      <c r="F15" s="21">
        <f t="shared" si="0"/>
        <v>69.821848374502352</v>
      </c>
      <c r="G15" s="21">
        <f t="shared" si="0"/>
        <v>62.356505357391391</v>
      </c>
      <c r="H15" s="21">
        <f t="shared" si="0"/>
        <v>88.923095746070715</v>
      </c>
      <c r="I15" s="19">
        <f t="shared" si="0"/>
        <v>2.119994121615074E-2</v>
      </c>
    </row>
    <row r="16" spans="1:10" ht="15" customHeight="1" x14ac:dyDescent="0.25">
      <c r="A16" s="13" t="s">
        <v>61</v>
      </c>
      <c r="C16" s="21">
        <f t="shared" ref="C16:I16" si="1">IFERROR(MEDIAN(C8:C13),"")</f>
        <v>12.18741950878556</v>
      </c>
      <c r="D16" s="21">
        <f t="shared" si="1"/>
        <v>22.564660971225734</v>
      </c>
      <c r="E16" s="21">
        <f t="shared" si="1"/>
        <v>21.998976107276803</v>
      </c>
      <c r="F16" s="21">
        <f t="shared" si="1"/>
        <v>33.820307016805074</v>
      </c>
      <c r="G16" s="21">
        <f t="shared" si="1"/>
        <v>32.250182190460741</v>
      </c>
      <c r="H16" s="21">
        <f t="shared" si="1"/>
        <v>48.753438031425659</v>
      </c>
      <c r="I16" s="19">
        <f t="shared" si="1"/>
        <v>2.0519663188946054E-2</v>
      </c>
    </row>
    <row r="17" spans="1:10" ht="15" customHeight="1" x14ac:dyDescent="0.25">
      <c r="A17" s="13" t="s">
        <v>62</v>
      </c>
      <c r="C17" s="21">
        <f t="shared" ref="C17:I17" si="2">IFERROR(MAX(C8:C13),"")</f>
        <v>21.434356294536816</v>
      </c>
      <c r="D17" s="21">
        <f t="shared" si="2"/>
        <v>95.188438818565402</v>
      </c>
      <c r="E17" s="21">
        <f t="shared" si="2"/>
        <v>73.126936790923821</v>
      </c>
      <c r="F17" s="21">
        <f t="shared" si="2"/>
        <v>271.80313253012048</v>
      </c>
      <c r="G17" s="21">
        <f t="shared" si="2"/>
        <v>221.09244019138757</v>
      </c>
      <c r="H17" s="21">
        <f t="shared" si="2"/>
        <v>287.00819875776398</v>
      </c>
      <c r="I17" s="19">
        <f t="shared" si="2"/>
        <v>4.8439037886247489E-2</v>
      </c>
    </row>
    <row r="18" spans="1:10" ht="15" customHeight="1" x14ac:dyDescent="0.25">
      <c r="A18" s="13" t="s">
        <v>63</v>
      </c>
      <c r="C18" s="21">
        <f t="shared" ref="C18:I18" si="3">IFERROR(MIN(C8:C13),"")</f>
        <v>4.6664796065953134</v>
      </c>
      <c r="D18" s="21">
        <f t="shared" si="3"/>
        <v>11.850161606268363</v>
      </c>
      <c r="E18" s="21">
        <f t="shared" si="3"/>
        <v>17.196533171461141</v>
      </c>
      <c r="F18" s="21">
        <f t="shared" si="3"/>
        <v>18.649819538017326</v>
      </c>
      <c r="G18" s="21">
        <f t="shared" si="3"/>
        <v>16.742432088285227</v>
      </c>
      <c r="H18" s="21">
        <f t="shared" si="3"/>
        <v>20.644505829128242</v>
      </c>
      <c r="I18" s="19">
        <f t="shared" si="3"/>
        <v>3.4842210234001148E-3</v>
      </c>
    </row>
    <row r="19" spans="1:10" ht="15" customHeight="1" x14ac:dyDescent="0.25">
      <c r="A19" s="22" t="s">
        <v>130</v>
      </c>
      <c r="C19" s="23">
        <f>IFERROR((C6/C16)-1,"")</f>
        <v>-6.0598371167313814E-2</v>
      </c>
      <c r="D19" s="23">
        <f>IFERROR((D6/D16)-1,"")</f>
        <v>-0.30076607353134233</v>
      </c>
      <c r="E19" s="23">
        <f>IFERROR((E6/E16)-1,"")</f>
        <v>-0.31167240706623844</v>
      </c>
      <c r="F19" s="23">
        <f>IFERROR((F6/F16)-1,"")</f>
        <v>-0.48251366019263597</v>
      </c>
      <c r="G19" s="23">
        <f>IFERROR((G6/G16)-1,"")</f>
        <v>-0.3499680758972481</v>
      </c>
      <c r="H19" s="24" t="s">
        <v>129</v>
      </c>
      <c r="I19" s="23">
        <f>IFERROR((I6/I16)-1,"")</f>
        <v>0.20552195877239465</v>
      </c>
    </row>
    <row r="21" spans="1:10" x14ac:dyDescent="0.25">
      <c r="A21" s="86" t="s">
        <v>131</v>
      </c>
    </row>
    <row r="22" spans="1:10" ht="15" customHeight="1" x14ac:dyDescent="0.25">
      <c r="A22" s="53" t="s">
        <v>132</v>
      </c>
    </row>
    <row r="23" spans="1:10" ht="30" customHeight="1" x14ac:dyDescent="0.25">
      <c r="A23" s="69" t="s">
        <v>90</v>
      </c>
      <c r="B23" s="69" t="s">
        <v>29</v>
      </c>
      <c r="C23" s="69" t="s">
        <v>133</v>
      </c>
      <c r="D23" s="69" t="s">
        <v>134</v>
      </c>
      <c r="E23" s="69" t="s">
        <v>135</v>
      </c>
      <c r="F23" s="69" t="s">
        <v>96</v>
      </c>
      <c r="G23" s="69" t="s">
        <v>91</v>
      </c>
      <c r="H23" s="69" t="s">
        <v>136</v>
      </c>
      <c r="I23" s="5"/>
      <c r="J23" s="5"/>
    </row>
    <row r="24" spans="1:10" ht="15" customHeight="1" x14ac:dyDescent="0.25">
      <c r="A24" s="70" t="s">
        <v>42</v>
      </c>
      <c r="B24" s="70" t="s">
        <v>43</v>
      </c>
      <c r="C24" s="89">
        <f>IFERROR('Market Data'!J8/'Financial Data'!E22,"")</f>
        <v>4.1251031738429358</v>
      </c>
      <c r="D24" s="89">
        <f>IFERROR('Market Data'!J8/'Financial Data'!F22,"")</f>
        <v>4.530330007701509</v>
      </c>
      <c r="E24" s="89">
        <f>IFERROR('Market Data'!C8/'Financial Data'!G22,"")</f>
        <v>5.9518840579710144</v>
      </c>
      <c r="F24" s="90">
        <f>IFERROR('Financial Data'!H22,"")</f>
        <v>0.91055246898797837</v>
      </c>
      <c r="G24" s="91" t="str">
        <f>IFERROR('Financial Data'!C22,"")</f>
        <v>FY Aug-27</v>
      </c>
      <c r="H24" s="92">
        <f>IFERROR('Financial Data'!D22,"")</f>
        <v>-0.5</v>
      </c>
    </row>
    <row r="25" spans="1:10" ht="15" customHeight="1" x14ac:dyDescent="0.25">
      <c r="A25" s="11"/>
    </row>
    <row r="26" spans="1:10" ht="15" customHeight="1" x14ac:dyDescent="0.25">
      <c r="A26" s="11" t="s">
        <v>44</v>
      </c>
      <c r="B26" s="11" t="s">
        <v>45</v>
      </c>
      <c r="C26" s="93">
        <f>IFERROR('Market Data'!J10/'Financial Data'!E24,"")</f>
        <v>2.4993718321735865</v>
      </c>
      <c r="D26" s="93">
        <f>IFERROR('Market Data'!J10/'Financial Data'!F24,"")</f>
        <v>3.0193614868394008</v>
      </c>
      <c r="E26" s="93">
        <f>IFERROR('Market Data'!C10/'Financial Data'!G24,"")</f>
        <v>3.8833998823784315</v>
      </c>
      <c r="F26" s="16">
        <f>IFERROR('Financial Data'!H24,"")</f>
        <v>0.82778158331411722</v>
      </c>
      <c r="G26" t="str">
        <f>IFERROR('Financial Data'!C24,"")</f>
        <v>FY Dec-27</v>
      </c>
      <c r="H26" s="94">
        <f>IFERROR('Financial Data'!D24,"")</f>
        <v>3.5</v>
      </c>
    </row>
    <row r="27" spans="1:10" ht="15" customHeight="1" x14ac:dyDescent="0.25">
      <c r="A27" s="11" t="s">
        <v>47</v>
      </c>
      <c r="B27" s="11" t="s">
        <v>48</v>
      </c>
      <c r="C27" s="93">
        <f>IFERROR('Market Data'!J11/'Financial Data'!E25,"")</f>
        <v>1.7279174816527709</v>
      </c>
      <c r="D27" s="93">
        <f>IFERROR('Market Data'!J11/'Financial Data'!F25,"")</f>
        <v>2.7696495521486919</v>
      </c>
      <c r="E27" s="93">
        <f>IFERROR('Market Data'!C11/'Financial Data'!G25,"")</f>
        <v>3.9101314116150911</v>
      </c>
      <c r="F27" s="16">
        <f>IFERROR('Financial Data'!H25,"")</f>
        <v>0.62387585473124352</v>
      </c>
      <c r="G27" t="str">
        <f>IFERROR('Financial Data'!C25,"")</f>
        <v>FY Dec-27</v>
      </c>
      <c r="H27" s="94">
        <f>IFERROR('Financial Data'!D25,"")</f>
        <v>3.5</v>
      </c>
    </row>
    <row r="28" spans="1:10" ht="15" customHeight="1" x14ac:dyDescent="0.25">
      <c r="A28" s="11" t="s">
        <v>49</v>
      </c>
      <c r="B28" s="11" t="s">
        <v>50</v>
      </c>
      <c r="C28" s="93">
        <f>IFERROR('Market Data'!J12/'Financial Data'!E26,"")</f>
        <v>2.5384939192998468</v>
      </c>
      <c r="D28" s="93">
        <f>IFERROR('Market Data'!J12/'Financial Data'!F26,"")</f>
        <v>3.1162598169588267</v>
      </c>
      <c r="E28" s="93">
        <f>IFERROR('Market Data'!C12/'Financial Data'!G26,"")</f>
        <v>4.3503308680420396</v>
      </c>
      <c r="F28" s="16">
        <f>IFERROR('Financial Data'!H26,"")</f>
        <v>0.81459636500308741</v>
      </c>
      <c r="G28" t="str">
        <f>IFERROR('Financial Data'!C26,"")</f>
        <v>FY Mar-27</v>
      </c>
      <c r="H28" s="94">
        <f>IFERROR('Financial Data'!D26,"")</f>
        <v>-5.6</v>
      </c>
    </row>
    <row r="29" spans="1:10" ht="15" customHeight="1" x14ac:dyDescent="0.25">
      <c r="A29" s="11" t="s">
        <v>52</v>
      </c>
      <c r="B29" s="11" t="s">
        <v>53</v>
      </c>
      <c r="C29" s="93">
        <f>IFERROR('Market Data'!J13/'Financial Data'!E27,"")</f>
        <v>4.5569198659533194</v>
      </c>
      <c r="D29" s="93">
        <f>IFERROR('Market Data'!J13/'Financial Data'!F27,"")</f>
        <v>5.623169953133389</v>
      </c>
      <c r="E29" s="93">
        <f>IFERROR('Market Data'!C13/'Financial Data'!G27,"")</f>
        <v>6.571753595192102</v>
      </c>
      <c r="F29" s="16">
        <f>IFERROR('Financial Data'!H27,"")</f>
        <v>0.81038273855017939</v>
      </c>
      <c r="G29" t="str">
        <f>IFERROR('Financial Data'!C27,"")</f>
        <v>FY Jun-27</v>
      </c>
      <c r="H29" s="94">
        <f>IFERROR('Financial Data'!D27,"")</f>
        <v>-2.5</v>
      </c>
    </row>
    <row r="30" spans="1:10" ht="15" customHeight="1" x14ac:dyDescent="0.25">
      <c r="A30" s="11" t="s">
        <v>55</v>
      </c>
      <c r="B30" s="11" t="s">
        <v>56</v>
      </c>
      <c r="C30" s="93">
        <f>IFERROR('Market Data'!J14/'Financial Data'!E28,"")</f>
        <v>2.9155322929792251</v>
      </c>
      <c r="D30" s="93">
        <f>IFERROR('Market Data'!J14/'Financial Data'!F28,"")</f>
        <v>3.7484480925162837</v>
      </c>
      <c r="E30" s="93">
        <f>IFERROR('Market Data'!C14/'Financial Data'!G28,"")</f>
        <v>5.0378006872852232</v>
      </c>
      <c r="F30" s="16">
        <f>IFERROR('Financial Data'!H28,"")</f>
        <v>0.77779716325805304</v>
      </c>
      <c r="G30" t="str">
        <f>IFERROR('Financial Data'!C28,"")</f>
        <v>FY Dec-27</v>
      </c>
      <c r="H30" s="94">
        <f>IFERROR('Financial Data'!D28,"")</f>
        <v>3.5</v>
      </c>
    </row>
    <row r="31" spans="1:10" ht="15" customHeight="1" x14ac:dyDescent="0.25">
      <c r="A31" s="11" t="s">
        <v>58</v>
      </c>
      <c r="B31" s="11" t="s">
        <v>59</v>
      </c>
      <c r="C31" s="93">
        <f>IFERROR('Market Data'!J15/'Financial Data'!E29,"")</f>
        <v>7.5939346526429654</v>
      </c>
      <c r="D31" s="93">
        <f>IFERROR('Market Data'!J15/'Financial Data'!F29,"")</f>
        <v>13.853973288226381</v>
      </c>
      <c r="E31" s="93">
        <f>IFERROR('Market Data'!C15/'Financial Data'!G29,"")</f>
        <v>18.317474433081369</v>
      </c>
      <c r="F31" s="16">
        <f>IFERROR('Financial Data'!H29,"")</f>
        <v>0.54814128009735463</v>
      </c>
      <c r="G31" t="str">
        <f>IFERROR('Financial Data'!C29,"")</f>
        <v>FY Jun-27</v>
      </c>
      <c r="H31" s="94">
        <f>IFERROR('Financial Data'!D29,"")</f>
        <v>-2.5</v>
      </c>
    </row>
    <row r="33" spans="1:6" ht="15" customHeight="1" x14ac:dyDescent="0.25">
      <c r="A33" s="13" t="s">
        <v>60</v>
      </c>
      <c r="C33" s="95">
        <f>IFERROR(AVERAGE(C26:C31),"")</f>
        <v>3.638695007450286</v>
      </c>
      <c r="D33" s="95">
        <f>IFERROR(AVERAGE(D26:D31),"")</f>
        <v>5.3551436983038299</v>
      </c>
      <c r="E33" s="95">
        <f>IFERROR(AVERAGE(E26:E31),"")</f>
        <v>7.0118151462657083</v>
      </c>
      <c r="F33" s="19">
        <f>IFERROR(AVERAGE(F26:F31),"")</f>
        <v>0.73376249749233924</v>
      </c>
    </row>
    <row r="34" spans="1:6" ht="15" customHeight="1" x14ac:dyDescent="0.25">
      <c r="A34" s="13" t="s">
        <v>61</v>
      </c>
      <c r="C34" s="95">
        <f>IFERROR(MEDIAN(C26:C31),"")</f>
        <v>2.7270131061395357</v>
      </c>
      <c r="D34" s="95">
        <f>IFERROR(MEDIAN(D26:D31),"")</f>
        <v>3.4323539547375552</v>
      </c>
      <c r="E34" s="95">
        <f>IFERROR(MEDIAN(E26:E31),"")</f>
        <v>4.6940657776636314</v>
      </c>
      <c r="F34" s="19">
        <f>IFERROR(MEDIAN(F26:F31),"")</f>
        <v>0.79408995090411616</v>
      </c>
    </row>
    <row r="35" spans="1:6" ht="15" customHeight="1" x14ac:dyDescent="0.25">
      <c r="A35" s="13" t="s">
        <v>62</v>
      </c>
      <c r="C35" s="95">
        <f>IFERROR(MAX(C26:C31),"")</f>
        <v>7.5939346526429654</v>
      </c>
      <c r="D35" s="95">
        <f>IFERROR(MAX(D26:D31),"")</f>
        <v>13.853973288226381</v>
      </c>
      <c r="E35" s="95">
        <f>IFERROR(MAX(E26:E31),"")</f>
        <v>18.317474433081369</v>
      </c>
      <c r="F35" s="19">
        <f>IFERROR(MAX(F26:F31),"")</f>
        <v>0.82778158331411722</v>
      </c>
    </row>
    <row r="36" spans="1:6" ht="15" customHeight="1" x14ac:dyDescent="0.25">
      <c r="A36" s="13" t="s">
        <v>63</v>
      </c>
      <c r="C36" s="95">
        <f>IFERROR(MIN(C26:C31),"")</f>
        <v>1.7279174816527709</v>
      </c>
      <c r="D36" s="95">
        <f>IFERROR(MIN(D26:D31),"")</f>
        <v>2.7696495521486919</v>
      </c>
      <c r="E36" s="95">
        <f>IFERROR(MIN(E26:E31),"")</f>
        <v>3.8833998823784315</v>
      </c>
      <c r="F36" s="19">
        <f>IFERROR(MIN(F26:F31),"")</f>
        <v>0.54814128009735463</v>
      </c>
    </row>
    <row r="37" spans="1:6" ht="15" customHeight="1" x14ac:dyDescent="0.25">
      <c r="A37" s="53" t="s">
        <v>130</v>
      </c>
      <c r="C37" s="96">
        <f>IFERROR((C24/C34)-1,"")</f>
        <v>0.51268182927165684</v>
      </c>
      <c r="D37" s="96">
        <f>IFERROR((D24/D34)-1,"")</f>
        <v>0.31989010091702719</v>
      </c>
      <c r="E37" s="96">
        <f>IFERROR((E24/E34)-1,"")</f>
        <v>0.26795923616848727</v>
      </c>
      <c r="F37" s="96">
        <f>IFERROR((F24/F34)-1,"")</f>
        <v>0.14666161931814292</v>
      </c>
    </row>
    <row r="39" spans="1:6" x14ac:dyDescent="0.25">
      <c r="A39" s="86" t="s">
        <v>137</v>
      </c>
    </row>
    <row r="40" spans="1:6" x14ac:dyDescent="0.25">
      <c r="A40" t="s">
        <v>138</v>
      </c>
      <c r="B40" s="97">
        <f>IFERROR('Financial Data'!I22,"")</f>
        <v>4.55</v>
      </c>
    </row>
    <row r="41" spans="1:6" x14ac:dyDescent="0.25">
      <c r="A41" t="s">
        <v>139</v>
      </c>
      <c r="B41" s="97">
        <f>IFERROR('Financial Data'!I32,"")</f>
        <v>3.4349999999999996</v>
      </c>
    </row>
    <row r="42" spans="1:6" x14ac:dyDescent="0.25">
      <c r="A42" t="s">
        <v>140</v>
      </c>
      <c r="B42" s="85">
        <f>IFERROR('Financial Data'!I33,"")</f>
        <v>0.32459970887918499</v>
      </c>
    </row>
    <row r="43" spans="1:6" x14ac:dyDescent="0.25">
      <c r="A43" s="86" t="s">
        <v>141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H73"/>
  <sheetViews>
    <sheetView zoomScaleNormal="100" workbookViewId="0"/>
  </sheetViews>
  <sheetFormatPr defaultColWidth="8.7109375" defaultRowHeight="15" x14ac:dyDescent="0.25"/>
  <cols>
    <col min="1" max="1" width="42" customWidth="1"/>
    <col min="2" max="5" width="18" customWidth="1"/>
    <col min="6" max="6" width="30" customWidth="1"/>
  </cols>
  <sheetData>
    <row r="1" spans="1:6" ht="17.25" customHeight="1" x14ac:dyDescent="0.25">
      <c r="A1" s="1" t="s">
        <v>24</v>
      </c>
    </row>
    <row r="2" spans="1:6" ht="15" customHeight="1" x14ac:dyDescent="0.25">
      <c r="A2" s="2" t="s">
        <v>142</v>
      </c>
    </row>
    <row r="4" spans="1:6" ht="15" customHeight="1" x14ac:dyDescent="0.25">
      <c r="A4" s="4" t="s">
        <v>143</v>
      </c>
    </row>
    <row r="5" spans="1:6" ht="15" customHeight="1" x14ac:dyDescent="0.25">
      <c r="A5" s="5" t="s">
        <v>144</v>
      </c>
      <c r="B5" s="5" t="s">
        <v>145</v>
      </c>
      <c r="C5" s="5" t="s">
        <v>146</v>
      </c>
      <c r="D5" s="5" t="s">
        <v>147</v>
      </c>
      <c r="E5" s="5" t="s">
        <v>148</v>
      </c>
      <c r="F5" s="5" t="s">
        <v>149</v>
      </c>
    </row>
    <row r="6" spans="1:6" ht="15" customHeight="1" x14ac:dyDescent="0.25">
      <c r="A6" s="11" t="s">
        <v>150</v>
      </c>
      <c r="B6" s="12">
        <f>IFERROR(QUARTILE('Valuation Multiples'!C8:C13,1)*'Financial Data'!C6,"")</f>
        <v>1052233.0920703379</v>
      </c>
      <c r="C6" s="12">
        <f>IFERROR(MEDIAN('Valuation Multiples'!C8:C13)*'Financial Data'!C6,"")</f>
        <v>1100207.1087361076</v>
      </c>
      <c r="D6" s="12">
        <f>IFERROR(QUARTILE('Valuation Multiples'!C8:C13,3)*'Financial Data'!C6,"")</f>
        <v>1117316.875419612</v>
      </c>
      <c r="E6" s="12">
        <f>IFERROR(AVERAGE('Valuation Multiples'!C8:C13)*'Financial Data'!C6,"")</f>
        <v>1119317.1602955908</v>
      </c>
    </row>
    <row r="7" spans="1:6" ht="15" customHeight="1" x14ac:dyDescent="0.25">
      <c r="A7" s="11" t="s">
        <v>151</v>
      </c>
      <c r="B7" s="12">
        <f>IFERROR(QUARTILE('Valuation Multiples'!E8:E13,1)*'Financial Data'!F6,"")</f>
        <v>1274497.526273604</v>
      </c>
      <c r="C7" s="12">
        <f>IFERROR(MEDIAN('Valuation Multiples'!E8:E13)*'Financial Data'!F6,"")</f>
        <v>1501518.1152260709</v>
      </c>
      <c r="D7" s="12">
        <f>IFERROR(QUARTILE('Valuation Multiples'!E8:E13,3)*'Financial Data'!F6,"")</f>
        <v>2038075.2522873352</v>
      </c>
      <c r="E7" s="12">
        <f>IFERROR(AVERAGE('Valuation Multiples'!E8:E13)*'Financial Data'!F6,"")</f>
        <v>2097287.6628658841</v>
      </c>
    </row>
    <row r="8" spans="1:6" ht="15" customHeight="1" x14ac:dyDescent="0.25">
      <c r="A8" s="11" t="s">
        <v>152</v>
      </c>
      <c r="B8" s="12">
        <f>IFERROR(QUARTILE('Valuation Multiples'!F8:F13,1)*'Financial Data'!H6,"")</f>
        <v>1606954.6211770754</v>
      </c>
      <c r="C8" s="12">
        <f>IFERROR(MEDIAN('Valuation Multiples'!F8:F13)*'Financial Data'!H6,"")</f>
        <v>1997224.4105704068</v>
      </c>
      <c r="D8" s="12">
        <f>IFERROR(QUARTILE('Valuation Multiples'!F8:F13,3)*'Financial Data'!H6,"")</f>
        <v>2086181.9472640355</v>
      </c>
      <c r="E8" s="12">
        <f>IFERROR(AVERAGE('Valuation Multiples'!F8:F13)*'Financial Data'!H6,"")</f>
        <v>4123259.4339078618</v>
      </c>
    </row>
    <row r="9" spans="1:6" ht="15" customHeight="1" x14ac:dyDescent="0.25">
      <c r="A9" s="54" t="s">
        <v>153</v>
      </c>
      <c r="B9" s="12">
        <f>IFERROR(QUARTILE('Valuation Multiples'!C26:C31,1)*'Financial Data'!E22,"")</f>
        <v>628663.1039787553</v>
      </c>
      <c r="C9" s="12">
        <f>IFERROR(MEDIAN('Valuation Multiples'!C26:C31)*'Financial Data'!E22,"")</f>
        <v>683247.67971704842</v>
      </c>
      <c r="D9" s="12">
        <f>IFERROR(QUARTILE('Valuation Multiples'!C26:C31,3)*'Financial Data'!E22,"")</f>
        <v>1038915.565166494</v>
      </c>
      <c r="E9" s="12">
        <f>IFERROR(AVERAGE('Valuation Multiples'!C26:C31)*'Financial Data'!E22,"")</f>
        <v>911667.75672665425</v>
      </c>
      <c r="F9" t="s">
        <v>154</v>
      </c>
    </row>
    <row r="10" spans="1:6" ht="15" customHeight="1" x14ac:dyDescent="0.25">
      <c r="A10" s="54" t="s">
        <v>155</v>
      </c>
      <c r="B10" s="12">
        <f>IFERROR(QUARTILE('Valuation Multiples'!D26:D31,1)*'Financial Data'!F22,"")</f>
        <v>694354.8994663012</v>
      </c>
      <c r="C10" s="12">
        <f>IFERROR(MEDIAN('Valuation Multiples'!D26:D31)*'Financial Data'!F22,"")</f>
        <v>783047.27740735712</v>
      </c>
      <c r="D10" s="12">
        <f>IFERROR(QUARTILE('Valuation Multiples'!D26:D31,3)*'Financial Data'!F22,"")</f>
        <v>1175930.2837680397</v>
      </c>
      <c r="E10" s="12">
        <f>IFERROR(AVERAGE('Valuation Multiples'!D26:D31)*'Financial Data'!F22,"")</f>
        <v>1221706.9534143107</v>
      </c>
      <c r="F10" t="s">
        <v>156</v>
      </c>
    </row>
    <row r="13" spans="1:6" ht="15" customHeight="1" x14ac:dyDescent="0.25">
      <c r="A13" s="4" t="s">
        <v>157</v>
      </c>
    </row>
    <row r="14" spans="1:6" ht="15" customHeight="1" x14ac:dyDescent="0.25">
      <c r="A14" s="22" t="s">
        <v>158</v>
      </c>
      <c r="B14" s="56">
        <f>IFERROR(QUARTILE('Valuation Multiples'!E8:E13,1)*'Financial Data'!F6,"")</f>
        <v>1274497.526273604</v>
      </c>
      <c r="C14" s="55" t="s">
        <v>159</v>
      </c>
    </row>
    <row r="15" spans="1:6" ht="15" customHeight="1" x14ac:dyDescent="0.25">
      <c r="A15" s="22" t="s">
        <v>160</v>
      </c>
      <c r="B15" s="56">
        <f>IFERROR(MEDIAN('Valuation Multiples'!E8:E13)*'Financial Data'!F6,"")</f>
        <v>1501518.1152260709</v>
      </c>
    </row>
    <row r="16" spans="1:6" ht="15" customHeight="1" x14ac:dyDescent="0.25">
      <c r="A16" s="22" t="s">
        <v>161</v>
      </c>
      <c r="B16" s="56">
        <f>IFERROR(QUARTILE('Valuation Multiples'!E8:E13,3)*'Financial Data'!F6,"")</f>
        <v>2038075.2522873352</v>
      </c>
    </row>
    <row r="18" spans="1:2" ht="15" customHeight="1" x14ac:dyDescent="0.25">
      <c r="A18" s="11" t="s">
        <v>162</v>
      </c>
      <c r="B18" s="25">
        <v>5722</v>
      </c>
    </row>
    <row r="19" spans="1:2" ht="15" customHeight="1" x14ac:dyDescent="0.25">
      <c r="A19" s="11" t="s">
        <v>163</v>
      </c>
      <c r="B19" s="25">
        <v>0</v>
      </c>
    </row>
    <row r="20" spans="1:2" ht="15" customHeight="1" x14ac:dyDescent="0.25">
      <c r="A20" s="11" t="s">
        <v>164</v>
      </c>
      <c r="B20" s="25">
        <v>30200</v>
      </c>
    </row>
    <row r="22" spans="1:2" ht="15" customHeight="1" x14ac:dyDescent="0.25">
      <c r="A22" s="22" t="s">
        <v>165</v>
      </c>
      <c r="B22" s="26">
        <f>IFERROR(B14-B18-B19+B20,"")</f>
        <v>1298975.526273604</v>
      </c>
    </row>
    <row r="23" spans="1:2" ht="15" customHeight="1" x14ac:dyDescent="0.25">
      <c r="A23" s="22" t="s">
        <v>166</v>
      </c>
      <c r="B23" s="26">
        <f>IFERROR(B15-B18-B19+B20,"")</f>
        <v>1525996.1152260709</v>
      </c>
    </row>
    <row r="24" spans="1:2" ht="15" customHeight="1" x14ac:dyDescent="0.25">
      <c r="A24" s="22" t="s">
        <v>167</v>
      </c>
      <c r="B24" s="26">
        <f>IFERROR(B16-B18-B19+B20,"")</f>
        <v>2062553.2522873352</v>
      </c>
    </row>
    <row r="26" spans="1:2" ht="15" customHeight="1" x14ac:dyDescent="0.25">
      <c r="A26" s="11" t="s">
        <v>168</v>
      </c>
      <c r="B26" s="25">
        <f>IFERROR('Market Data'!D8,"")</f>
        <v>1145</v>
      </c>
    </row>
    <row r="28" spans="1:2" ht="15" customHeight="1" x14ac:dyDescent="0.25">
      <c r="A28" s="22" t="s">
        <v>169</v>
      </c>
      <c r="B28" s="27">
        <f>IFERROR(IF(B22="","",B22/B26),"")</f>
        <v>1134.4764421603529</v>
      </c>
    </row>
    <row r="29" spans="1:2" ht="15" customHeight="1" x14ac:dyDescent="0.25">
      <c r="A29" s="22" t="s">
        <v>170</v>
      </c>
      <c r="B29" s="27">
        <f>IFERROR(IF(B23="","",B23/B26),"")</f>
        <v>1332.7476988873982</v>
      </c>
    </row>
    <row r="30" spans="1:2" ht="15" customHeight="1" x14ac:dyDescent="0.25">
      <c r="A30" s="22" t="s">
        <v>171</v>
      </c>
      <c r="B30" s="27">
        <f>IFERROR(IF(B24="","",B24/B26),"")</f>
        <v>1801.3565522160134</v>
      </c>
    </row>
    <row r="32" spans="1:2" ht="15" customHeight="1" x14ac:dyDescent="0.25">
      <c r="A32" s="11" t="s">
        <v>172</v>
      </c>
      <c r="B32" s="28">
        <f>IFERROR('Market Data'!C8,"")</f>
        <v>924.03</v>
      </c>
    </row>
    <row r="33" spans="1:6" ht="15" customHeight="1" x14ac:dyDescent="0.25">
      <c r="A33" s="22" t="s">
        <v>173</v>
      </c>
      <c r="B33" s="29">
        <f>IFERROR(IF(B28="","",B28/B32-1),"")</f>
        <v>0.22774849535226438</v>
      </c>
    </row>
    <row r="34" spans="1:6" ht="15" customHeight="1" x14ac:dyDescent="0.25">
      <c r="A34" s="22" t="s">
        <v>174</v>
      </c>
      <c r="B34" s="23">
        <f>IFERROR(IF(B29="","",B29/B32-1),"")</f>
        <v>0.44232081089077013</v>
      </c>
    </row>
    <row r="35" spans="1:6" ht="15" customHeight="1" x14ac:dyDescent="0.25">
      <c r="A35" s="22" t="s">
        <v>175</v>
      </c>
      <c r="B35" s="29">
        <f>IFERROR(IF(B30="","",B30/B32-1),"")</f>
        <v>0.9494567841044268</v>
      </c>
    </row>
    <row r="38" spans="1:6" ht="15" customHeight="1" x14ac:dyDescent="0.25">
      <c r="A38" s="4" t="s">
        <v>176</v>
      </c>
    </row>
    <row r="39" spans="1:6" ht="15" customHeight="1" x14ac:dyDescent="0.25">
      <c r="A39" s="5" t="s">
        <v>90</v>
      </c>
      <c r="B39" s="5" t="s">
        <v>177</v>
      </c>
      <c r="C39" s="5" t="s">
        <v>178</v>
      </c>
      <c r="D39" s="5"/>
      <c r="E39" s="5"/>
      <c r="F39" s="5"/>
    </row>
    <row r="40" spans="1:6" ht="32.25" customHeight="1" x14ac:dyDescent="0.25">
      <c r="A40" s="11" t="s">
        <v>44</v>
      </c>
      <c r="B40" s="11" t="s">
        <v>179</v>
      </c>
      <c r="C40" s="30" t="s">
        <v>180</v>
      </c>
    </row>
    <row r="41" spans="1:6" ht="32.25" customHeight="1" x14ac:dyDescent="0.25">
      <c r="A41" s="11" t="s">
        <v>55</v>
      </c>
      <c r="B41" s="11" t="s">
        <v>179</v>
      </c>
      <c r="C41" s="30" t="s">
        <v>181</v>
      </c>
    </row>
    <row r="42" spans="1:6" ht="21.75" customHeight="1" x14ac:dyDescent="0.25">
      <c r="A42" s="11" t="s">
        <v>49</v>
      </c>
      <c r="B42" s="11" t="s">
        <v>179</v>
      </c>
      <c r="C42" s="30" t="s">
        <v>182</v>
      </c>
    </row>
    <row r="43" spans="1:6" ht="32.25" customHeight="1" x14ac:dyDescent="0.25">
      <c r="A43" s="11" t="s">
        <v>52</v>
      </c>
      <c r="B43" s="11" t="s">
        <v>179</v>
      </c>
      <c r="C43" s="30" t="s">
        <v>183</v>
      </c>
    </row>
    <row r="44" spans="1:6" ht="21.75" customHeight="1" x14ac:dyDescent="0.25">
      <c r="A44" s="11" t="s">
        <v>47</v>
      </c>
      <c r="B44" s="11" t="s">
        <v>184</v>
      </c>
      <c r="C44" s="30" t="s">
        <v>185</v>
      </c>
    </row>
    <row r="45" spans="1:6" ht="32.25" customHeight="1" x14ac:dyDescent="0.25">
      <c r="A45" s="11" t="s">
        <v>58</v>
      </c>
      <c r="B45" s="11" t="s">
        <v>186</v>
      </c>
      <c r="C45" s="30" t="s">
        <v>187</v>
      </c>
    </row>
    <row r="48" spans="1:6" ht="15" customHeight="1" x14ac:dyDescent="0.25">
      <c r="A48" s="4" t="s">
        <v>188</v>
      </c>
    </row>
    <row r="49" spans="1:8" ht="15" customHeight="1" x14ac:dyDescent="0.25">
      <c r="A49" s="5"/>
      <c r="B49" s="5" t="s">
        <v>43</v>
      </c>
      <c r="C49" s="5" t="s">
        <v>45</v>
      </c>
      <c r="D49" s="5" t="s">
        <v>48</v>
      </c>
      <c r="E49" s="5" t="s">
        <v>50</v>
      </c>
      <c r="F49" s="5" t="s">
        <v>53</v>
      </c>
      <c r="G49" s="5" t="s">
        <v>56</v>
      </c>
      <c r="H49" s="5" t="s">
        <v>59</v>
      </c>
    </row>
    <row r="50" spans="1:8" ht="15" customHeight="1" x14ac:dyDescent="0.25">
      <c r="A50" s="11" t="s">
        <v>189</v>
      </c>
      <c r="B50" s="45">
        <v>2.25</v>
      </c>
      <c r="C50" s="45">
        <v>1.8</v>
      </c>
      <c r="D50" s="45">
        <v>1.23</v>
      </c>
      <c r="E50" s="45">
        <v>1.73</v>
      </c>
      <c r="F50" s="45">
        <v>2.6</v>
      </c>
      <c r="G50" s="45">
        <v>1.89</v>
      </c>
      <c r="H50" s="45">
        <v>2.13</v>
      </c>
    </row>
    <row r="51" spans="1:8" ht="15" customHeight="1" x14ac:dyDescent="0.25">
      <c r="A51" s="11" t="s">
        <v>190</v>
      </c>
      <c r="B51" s="11" t="s">
        <v>191</v>
      </c>
      <c r="C51" s="11" t="s">
        <v>192</v>
      </c>
      <c r="D51" s="11" t="s">
        <v>192</v>
      </c>
      <c r="E51" s="11" t="s">
        <v>193</v>
      </c>
      <c r="F51" s="11" t="s">
        <v>194</v>
      </c>
      <c r="G51" s="11" t="s">
        <v>192</v>
      </c>
      <c r="H51" s="11" t="s">
        <v>195</v>
      </c>
    </row>
    <row r="53" spans="1:8" x14ac:dyDescent="0.25">
      <c r="A53" s="36" t="s">
        <v>196</v>
      </c>
    </row>
    <row r="54" spans="1:8" x14ac:dyDescent="0.25">
      <c r="A54" s="33" t="s">
        <v>197</v>
      </c>
    </row>
    <row r="57" spans="1:8" x14ac:dyDescent="0.25">
      <c r="A57" s="53" t="s">
        <v>198</v>
      </c>
    </row>
    <row r="58" spans="1:8" x14ac:dyDescent="0.25">
      <c r="A58" t="s">
        <v>199</v>
      </c>
      <c r="B58" s="98">
        <f>IFERROR(B10,"")</f>
        <v>694354.8994663012</v>
      </c>
    </row>
    <row r="59" spans="1:8" x14ac:dyDescent="0.25">
      <c r="A59" t="s">
        <v>200</v>
      </c>
      <c r="B59" s="98">
        <f>IFERROR(C10,"")</f>
        <v>783047.27740735712</v>
      </c>
    </row>
    <row r="60" spans="1:8" x14ac:dyDescent="0.25">
      <c r="A60" t="s">
        <v>201</v>
      </c>
      <c r="B60" s="98">
        <f>IFERROR(D10,"")</f>
        <v>1175930.2837680397</v>
      </c>
    </row>
    <row r="62" spans="1:8" x14ac:dyDescent="0.25">
      <c r="A62" t="s">
        <v>162</v>
      </c>
      <c r="B62">
        <f>B18</f>
        <v>5722</v>
      </c>
    </row>
    <row r="63" spans="1:8" x14ac:dyDescent="0.25">
      <c r="A63" t="s">
        <v>164</v>
      </c>
      <c r="B63">
        <f>B20</f>
        <v>30200</v>
      </c>
    </row>
    <row r="65" spans="1:3" x14ac:dyDescent="0.25">
      <c r="A65" t="s">
        <v>169</v>
      </c>
      <c r="B65" s="99">
        <f>IFERROR((B58-B62+B63)/B26,"")</f>
        <v>627.80165892253376</v>
      </c>
      <c r="C65" s="100">
        <f>IFERROR(B65/B32-1,"")</f>
        <v>-0.32058303418445966</v>
      </c>
    </row>
    <row r="66" spans="1:3" x14ac:dyDescent="0.25">
      <c r="A66" t="s">
        <v>170</v>
      </c>
      <c r="B66" s="99">
        <f>IFERROR((B59-B62+B63)/B26,"")</f>
        <v>705.26225101079228</v>
      </c>
      <c r="C66" s="100">
        <f>IFERROR(B66/B32-1,"")</f>
        <v>-0.23675394628876523</v>
      </c>
    </row>
    <row r="67" spans="1:3" x14ac:dyDescent="0.25">
      <c r="A67" t="s">
        <v>171</v>
      </c>
      <c r="B67" s="99">
        <f>IFERROR((B60-B62+B63)/B26,"")</f>
        <v>1048.3915142078949</v>
      </c>
      <c r="C67" s="100">
        <f>IFERROR(B67/B32-1,"")</f>
        <v>0.13458601366610923</v>
      </c>
    </row>
    <row r="69" spans="1:3" x14ac:dyDescent="0.25">
      <c r="A69" t="s">
        <v>202</v>
      </c>
      <c r="B69" s="99">
        <f>IFERROR('Financial Data'!G22,"")</f>
        <v>155.25</v>
      </c>
    </row>
    <row r="70" spans="1:3" x14ac:dyDescent="0.25">
      <c r="A70" t="s">
        <v>203</v>
      </c>
      <c r="B70" s="99">
        <f>IFERROR(MEDIAN('Valuation Multiples'!E26:E31)*B69,"")</f>
        <v>728.75371198227879</v>
      </c>
      <c r="C70" s="100">
        <f>IFERROR(B70/B32-1,"")</f>
        <v>-0.21133111264539162</v>
      </c>
    </row>
    <row r="72" spans="1:3" x14ac:dyDescent="0.25">
      <c r="A72" s="86" t="s">
        <v>204</v>
      </c>
    </row>
    <row r="73" spans="1:3" x14ac:dyDescent="0.25">
      <c r="A73" s="86" t="s">
        <v>205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"/>
  <sheetViews>
    <sheetView workbookViewId="0"/>
  </sheetViews>
  <sheetFormatPr defaultRowHeight="15" x14ac:dyDescent="0.25"/>
  <cols>
    <col min="1" max="1" width="30" customWidth="1"/>
    <col min="2" max="2" width="22" customWidth="1"/>
    <col min="3" max="11" width="14" customWidth="1"/>
  </cols>
  <sheetData>
    <row r="1" spans="1:11" ht="15.75" customHeight="1" x14ac:dyDescent="0.25">
      <c r="A1" s="50" t="s">
        <v>206</v>
      </c>
    </row>
    <row r="2" spans="1:11" x14ac:dyDescent="0.25">
      <c r="A2" s="46" t="s">
        <v>207</v>
      </c>
    </row>
    <row r="4" spans="1:11" x14ac:dyDescent="0.25">
      <c r="A4" s="47" t="s">
        <v>90</v>
      </c>
      <c r="B4" s="47" t="s">
        <v>208</v>
      </c>
      <c r="C4" s="47" t="s">
        <v>209</v>
      </c>
      <c r="D4" s="47" t="s">
        <v>210</v>
      </c>
      <c r="E4" s="47" t="s">
        <v>211</v>
      </c>
      <c r="F4" s="47" t="s">
        <v>212</v>
      </c>
      <c r="G4" s="47" t="s">
        <v>213</v>
      </c>
      <c r="H4" s="47" t="s">
        <v>214</v>
      </c>
      <c r="I4" s="47" t="s">
        <v>215</v>
      </c>
      <c r="J4" s="47" t="s">
        <v>216</v>
      </c>
      <c r="K4" s="47" t="s">
        <v>217</v>
      </c>
    </row>
    <row r="5" spans="1:11" x14ac:dyDescent="0.25">
      <c r="A5" s="47" t="s">
        <v>218</v>
      </c>
      <c r="B5" s="47" t="s">
        <v>219</v>
      </c>
      <c r="C5" s="47">
        <v>924.03</v>
      </c>
      <c r="D5" s="47">
        <v>1058014.3500000001</v>
      </c>
      <c r="E5" s="47">
        <v>1033536.35</v>
      </c>
      <c r="F5" s="47">
        <v>11.45</v>
      </c>
      <c r="G5" s="47">
        <v>15.14</v>
      </c>
      <c r="H5" s="47">
        <v>17.5</v>
      </c>
      <c r="I5" s="47">
        <v>20.96</v>
      </c>
      <c r="J5" s="47">
        <v>10.5</v>
      </c>
      <c r="K5" s="47">
        <v>72.56</v>
      </c>
    </row>
    <row r="6" spans="1:11" x14ac:dyDescent="0.25">
      <c r="A6" t="s">
        <v>44</v>
      </c>
      <c r="B6" t="s">
        <v>220</v>
      </c>
      <c r="C6">
        <v>1254.6099999999999</v>
      </c>
      <c r="D6">
        <v>892029.13</v>
      </c>
      <c r="E6">
        <v>884455.25</v>
      </c>
      <c r="F6">
        <v>12.2</v>
      </c>
      <c r="G6">
        <v>19.399999999999999</v>
      </c>
      <c r="H6">
        <v>25.13</v>
      </c>
      <c r="I6">
        <v>27.84</v>
      </c>
      <c r="J6">
        <v>9.92</v>
      </c>
      <c r="K6">
        <v>60.37</v>
      </c>
    </row>
    <row r="7" spans="1:11" x14ac:dyDescent="0.25">
      <c r="A7" t="s">
        <v>47</v>
      </c>
      <c r="B7" t="s">
        <v>220</v>
      </c>
      <c r="C7">
        <v>184.48</v>
      </c>
      <c r="D7">
        <v>1236568.97</v>
      </c>
      <c r="E7">
        <v>1161505.2</v>
      </c>
      <c r="F7">
        <v>4.67</v>
      </c>
      <c r="G7">
        <v>17.2</v>
      </c>
      <c r="H7">
        <v>35.700000000000003</v>
      </c>
      <c r="I7">
        <v>36.659999999999997</v>
      </c>
      <c r="J7">
        <v>3.91</v>
      </c>
      <c r="K7">
        <v>39.380000000000003</v>
      </c>
    </row>
    <row r="8" spans="1:11" x14ac:dyDescent="0.25">
      <c r="A8" t="s">
        <v>49</v>
      </c>
      <c r="B8" t="s">
        <v>221</v>
      </c>
      <c r="C8">
        <v>335.28</v>
      </c>
      <c r="D8">
        <v>184067.06</v>
      </c>
      <c r="E8">
        <v>189110.91</v>
      </c>
      <c r="F8">
        <v>12.43</v>
      </c>
      <c r="G8">
        <v>24.6</v>
      </c>
      <c r="H8">
        <v>33.450000000000003</v>
      </c>
      <c r="I8">
        <v>51.02</v>
      </c>
      <c r="J8">
        <v>20.22</v>
      </c>
      <c r="K8">
        <v>47.15</v>
      </c>
    </row>
    <row r="9" spans="1:11" x14ac:dyDescent="0.25">
      <c r="A9" t="s">
        <v>52</v>
      </c>
      <c r="B9" t="s">
        <v>222</v>
      </c>
      <c r="C9">
        <v>1530.89</v>
      </c>
      <c r="D9">
        <v>237288.73</v>
      </c>
      <c r="E9">
        <v>232526.73</v>
      </c>
      <c r="F9">
        <v>11.48</v>
      </c>
      <c r="G9">
        <v>18.43</v>
      </c>
      <c r="H9">
        <v>18.649999999999999</v>
      </c>
      <c r="I9">
        <v>20.77</v>
      </c>
      <c r="J9">
        <v>15.08</v>
      </c>
      <c r="K9">
        <v>71.47</v>
      </c>
    </row>
    <row r="10" spans="1:11" x14ac:dyDescent="0.25">
      <c r="A10" t="s">
        <v>55</v>
      </c>
      <c r="B10" t="s">
        <v>220</v>
      </c>
      <c r="C10">
        <v>14.66</v>
      </c>
      <c r="D10">
        <v>46217.15</v>
      </c>
      <c r="E10">
        <v>45128.13</v>
      </c>
      <c r="F10">
        <v>21.44</v>
      </c>
      <c r="G10">
        <v>73.13</v>
      </c>
      <c r="H10">
        <v>272.32</v>
      </c>
      <c r="I10">
        <v>221.13</v>
      </c>
      <c r="J10">
        <v>8.58</v>
      </c>
      <c r="K10">
        <v>22.51</v>
      </c>
    </row>
    <row r="11" spans="1:11" x14ac:dyDescent="0.25">
      <c r="A11" t="s">
        <v>58</v>
      </c>
      <c r="B11" t="s">
        <v>222</v>
      </c>
      <c r="C11">
        <v>411.96</v>
      </c>
      <c r="D11">
        <v>157780.68</v>
      </c>
      <c r="E11">
        <v>157253.68</v>
      </c>
      <c r="F11">
        <v>12.17</v>
      </c>
      <c r="G11">
        <v>31.62</v>
      </c>
      <c r="H11">
        <v>34.19</v>
      </c>
      <c r="I11">
        <v>16.739999999999998</v>
      </c>
      <c r="J11">
        <v>17.8</v>
      </c>
      <c r="K11">
        <v>48.85</v>
      </c>
    </row>
    <row r="13" spans="1:11" x14ac:dyDescent="0.25">
      <c r="A13" s="47" t="s">
        <v>223</v>
      </c>
      <c r="F13">
        <v>12.19</v>
      </c>
      <c r="G13">
        <v>22</v>
      </c>
      <c r="H13">
        <v>33.82</v>
      </c>
      <c r="I13">
        <v>32.25</v>
      </c>
      <c r="J13">
        <v>12.5</v>
      </c>
    </row>
    <row r="14" spans="1:11" x14ac:dyDescent="0.25">
      <c r="A14" s="47" t="s">
        <v>224</v>
      </c>
      <c r="F14">
        <v>12.4</v>
      </c>
      <c r="G14">
        <v>30.73</v>
      </c>
      <c r="H14">
        <v>69.91</v>
      </c>
      <c r="I14">
        <v>62.36</v>
      </c>
      <c r="J14">
        <v>12.59</v>
      </c>
    </row>
    <row r="15" spans="1:11" x14ac:dyDescent="0.25">
      <c r="A15" s="47" t="s">
        <v>103</v>
      </c>
      <c r="F15">
        <v>-6.0999999999999999E-2</v>
      </c>
      <c r="G15">
        <v>-0.312</v>
      </c>
      <c r="H15">
        <v>-0.48299999999999998</v>
      </c>
      <c r="I15">
        <v>-0.35</v>
      </c>
      <c r="J15">
        <v>-0.16</v>
      </c>
    </row>
    <row r="17" spans="1:2" x14ac:dyDescent="0.25">
      <c r="A17" s="49" t="s">
        <v>225</v>
      </c>
    </row>
    <row r="18" spans="1:2" x14ac:dyDescent="0.25">
      <c r="A18" s="46" t="s">
        <v>226</v>
      </c>
    </row>
    <row r="19" spans="1:2" x14ac:dyDescent="0.25">
      <c r="A19" s="46" t="s">
        <v>227</v>
      </c>
    </row>
    <row r="21" spans="1:2" x14ac:dyDescent="0.25">
      <c r="A21" s="47" t="s">
        <v>228</v>
      </c>
    </row>
    <row r="22" spans="1:2" x14ac:dyDescent="0.25">
      <c r="A22" t="s">
        <v>229</v>
      </c>
      <c r="B22" t="s">
        <v>230</v>
      </c>
    </row>
    <row r="23" spans="1:2" x14ac:dyDescent="0.25">
      <c r="A23" t="s">
        <v>231</v>
      </c>
      <c r="B23" t="s">
        <v>232</v>
      </c>
    </row>
    <row r="24" spans="1:2" x14ac:dyDescent="0.25">
      <c r="A24" t="s">
        <v>233</v>
      </c>
      <c r="B24" t="s">
        <v>234</v>
      </c>
    </row>
    <row r="25" spans="1:2" x14ac:dyDescent="0.25">
      <c r="A25" s="47" t="s">
        <v>235</v>
      </c>
      <c r="B25" s="47" t="s">
        <v>236</v>
      </c>
    </row>
    <row r="26" spans="1:2" x14ac:dyDescent="0.25">
      <c r="A26" t="s">
        <v>237</v>
      </c>
      <c r="B26" t="s">
        <v>238</v>
      </c>
    </row>
    <row r="27" spans="1:2" x14ac:dyDescent="0.25">
      <c r="A27" t="s">
        <v>239</v>
      </c>
      <c r="B27" t="s">
        <v>240</v>
      </c>
    </row>
    <row r="28" spans="1:2" x14ac:dyDescent="0.25">
      <c r="A28" t="s">
        <v>241</v>
      </c>
      <c r="B28" t="s">
        <v>242</v>
      </c>
    </row>
    <row r="29" spans="1:2" x14ac:dyDescent="0.25">
      <c r="A29" t="s">
        <v>223</v>
      </c>
      <c r="B29" t="s">
        <v>243</v>
      </c>
    </row>
    <row r="30" spans="1:2" x14ac:dyDescent="0.25">
      <c r="A30" s="49" t="s">
        <v>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4"/>
  <sheetViews>
    <sheetView workbookViewId="0"/>
  </sheetViews>
  <sheetFormatPr defaultRowHeight="15" x14ac:dyDescent="0.25"/>
  <cols>
    <col min="1" max="1" width="26" customWidth="1"/>
    <col min="3" max="3" width="20" customWidth="1"/>
    <col min="5" max="13" width="15" customWidth="1"/>
  </cols>
  <sheetData>
    <row r="1" spans="1:13" ht="15.75" customHeight="1" x14ac:dyDescent="0.25">
      <c r="A1" s="37" t="s">
        <v>245</v>
      </c>
    </row>
    <row r="2" spans="1:13" x14ac:dyDescent="0.25">
      <c r="A2" s="33" t="s">
        <v>246</v>
      </c>
    </row>
    <row r="3" spans="1:13" x14ac:dyDescent="0.25">
      <c r="A3" s="33" t="s">
        <v>247</v>
      </c>
    </row>
    <row r="5" spans="1:13" x14ac:dyDescent="0.25">
      <c r="A5" s="38" t="s">
        <v>90</v>
      </c>
      <c r="B5" s="38" t="s">
        <v>29</v>
      </c>
      <c r="C5" s="38" t="s">
        <v>248</v>
      </c>
      <c r="D5" s="38" t="s">
        <v>249</v>
      </c>
      <c r="E5" s="38" t="s">
        <v>250</v>
      </c>
      <c r="F5" s="38" t="s">
        <v>251</v>
      </c>
      <c r="G5" s="38" t="s">
        <v>252</v>
      </c>
      <c r="H5" s="38" t="s">
        <v>253</v>
      </c>
      <c r="I5" s="38" t="s">
        <v>254</v>
      </c>
      <c r="J5" s="38" t="s">
        <v>255</v>
      </c>
      <c r="K5" s="38" t="s">
        <v>256</v>
      </c>
      <c r="L5" s="38" t="s">
        <v>257</v>
      </c>
      <c r="M5" s="38" t="s">
        <v>258</v>
      </c>
    </row>
    <row r="6" spans="1:13" x14ac:dyDescent="0.25">
      <c r="A6" t="s">
        <v>42</v>
      </c>
      <c r="B6" t="s">
        <v>43</v>
      </c>
      <c r="C6" t="s">
        <v>259</v>
      </c>
      <c r="D6" t="s">
        <v>260</v>
      </c>
      <c r="E6" s="38">
        <v>90274</v>
      </c>
      <c r="F6" s="38">
        <v>72.569999999999993</v>
      </c>
      <c r="G6" s="38">
        <v>75.61</v>
      </c>
      <c r="H6" s="38">
        <v>50469</v>
      </c>
      <c r="I6" s="38">
        <v>65.17</v>
      </c>
      <c r="J6" s="38">
        <v>72.02</v>
      </c>
      <c r="K6" s="38">
        <v>3.42</v>
      </c>
      <c r="L6" s="38">
        <v>-0.36</v>
      </c>
      <c r="M6" s="38">
        <v>27.98</v>
      </c>
    </row>
    <row r="8" spans="1:13" x14ac:dyDescent="0.25">
      <c r="A8" t="s">
        <v>44</v>
      </c>
      <c r="B8" t="s">
        <v>45</v>
      </c>
      <c r="C8" t="s">
        <v>220</v>
      </c>
      <c r="D8" t="s">
        <v>261</v>
      </c>
      <c r="E8">
        <v>72481.289999999994</v>
      </c>
      <c r="F8">
        <v>60.37</v>
      </c>
      <c r="G8">
        <v>62.89</v>
      </c>
      <c r="H8">
        <v>32043.5</v>
      </c>
      <c r="I8">
        <v>44.15</v>
      </c>
      <c r="J8">
        <v>35.71</v>
      </c>
      <c r="K8">
        <v>1.86</v>
      </c>
      <c r="L8">
        <v>-0.17</v>
      </c>
      <c r="M8">
        <v>29.18</v>
      </c>
    </row>
    <row r="9" spans="1:13" x14ac:dyDescent="0.25">
      <c r="A9" t="s">
        <v>47</v>
      </c>
      <c r="B9" t="s">
        <v>48</v>
      </c>
      <c r="C9" t="s">
        <v>220</v>
      </c>
      <c r="D9" t="s">
        <v>261</v>
      </c>
      <c r="E9">
        <v>248903.93</v>
      </c>
      <c r="F9">
        <v>39.380000000000003</v>
      </c>
      <c r="G9">
        <v>27.14</v>
      </c>
      <c r="H9">
        <v>33728.870000000003</v>
      </c>
      <c r="I9">
        <v>10.85</v>
      </c>
      <c r="J9">
        <v>10.15</v>
      </c>
      <c r="K9">
        <v>2.33</v>
      </c>
      <c r="L9">
        <v>-1.1100000000000001</v>
      </c>
      <c r="M9">
        <v>15.58</v>
      </c>
    </row>
    <row r="10" spans="1:13" x14ac:dyDescent="0.25">
      <c r="A10" t="s">
        <v>49</v>
      </c>
      <c r="B10" t="s">
        <v>50</v>
      </c>
      <c r="C10" t="s">
        <v>221</v>
      </c>
      <c r="D10" t="s">
        <v>262</v>
      </c>
      <c r="E10">
        <v>15208.04</v>
      </c>
      <c r="F10">
        <v>47.15</v>
      </c>
      <c r="G10">
        <v>50.56</v>
      </c>
      <c r="H10">
        <v>3607.42</v>
      </c>
      <c r="I10">
        <v>60.39</v>
      </c>
      <c r="J10">
        <v>27.59</v>
      </c>
      <c r="K10">
        <v>1.47</v>
      </c>
      <c r="L10">
        <v>0.66</v>
      </c>
      <c r="M10">
        <v>11.87</v>
      </c>
    </row>
    <row r="11" spans="1:13" x14ac:dyDescent="0.25">
      <c r="A11" t="s">
        <v>52</v>
      </c>
      <c r="B11" t="s">
        <v>53</v>
      </c>
      <c r="C11" t="s">
        <v>222</v>
      </c>
      <c r="D11" t="s">
        <v>260</v>
      </c>
      <c r="E11">
        <v>20248</v>
      </c>
      <c r="F11">
        <v>71.47</v>
      </c>
      <c r="G11">
        <v>62.31</v>
      </c>
      <c r="H11">
        <v>11423</v>
      </c>
      <c r="I11">
        <v>91.56</v>
      </c>
      <c r="J11">
        <v>85.8</v>
      </c>
      <c r="K11">
        <v>2.29</v>
      </c>
      <c r="L11">
        <v>-0.38</v>
      </c>
      <c r="M11">
        <v>0.87</v>
      </c>
    </row>
    <row r="12" spans="1:13" x14ac:dyDescent="0.25">
      <c r="A12" t="s">
        <v>55</v>
      </c>
      <c r="B12" t="s">
        <v>56</v>
      </c>
      <c r="C12" t="s">
        <v>220</v>
      </c>
      <c r="D12" t="s">
        <v>263</v>
      </c>
      <c r="E12">
        <v>2104.5</v>
      </c>
      <c r="F12">
        <v>22.51</v>
      </c>
      <c r="G12">
        <v>29.32</v>
      </c>
      <c r="H12">
        <v>209</v>
      </c>
      <c r="I12">
        <v>3.94</v>
      </c>
      <c r="J12">
        <v>3.65</v>
      </c>
      <c r="K12">
        <v>5.71</v>
      </c>
      <c r="L12">
        <v>-1.76</v>
      </c>
      <c r="M12">
        <v>20.54</v>
      </c>
    </row>
    <row r="13" spans="1:13" x14ac:dyDescent="0.25">
      <c r="A13" t="s">
        <v>58</v>
      </c>
      <c r="B13" t="s">
        <v>59</v>
      </c>
      <c r="C13" t="s">
        <v>222</v>
      </c>
      <c r="D13" t="s">
        <v>260</v>
      </c>
      <c r="E13">
        <v>12919</v>
      </c>
      <c r="F13">
        <v>48.85</v>
      </c>
      <c r="G13">
        <v>38.5</v>
      </c>
      <c r="H13">
        <v>9424</v>
      </c>
      <c r="I13">
        <v>131.02000000000001</v>
      </c>
      <c r="J13">
        <v>95.02</v>
      </c>
      <c r="K13">
        <v>1.33</v>
      </c>
      <c r="L13">
        <v>-0.11</v>
      </c>
      <c r="M13">
        <v>3.24</v>
      </c>
    </row>
    <row r="15" spans="1:13" x14ac:dyDescent="0.25">
      <c r="A15" s="38" t="s">
        <v>223</v>
      </c>
      <c r="E15">
        <v>17728.02</v>
      </c>
      <c r="F15">
        <v>48</v>
      </c>
      <c r="G15">
        <v>44.53</v>
      </c>
      <c r="H15">
        <v>10423.5</v>
      </c>
      <c r="I15">
        <v>52.27</v>
      </c>
      <c r="J15">
        <v>31.65</v>
      </c>
      <c r="K15">
        <v>2.08</v>
      </c>
      <c r="L15">
        <v>-0.28000000000000003</v>
      </c>
      <c r="M15">
        <v>13.72</v>
      </c>
    </row>
    <row r="16" spans="1:13" x14ac:dyDescent="0.25">
      <c r="A16" s="38" t="s">
        <v>224</v>
      </c>
      <c r="E16">
        <v>61977.46</v>
      </c>
      <c r="F16">
        <v>48.29</v>
      </c>
      <c r="G16">
        <v>45.12</v>
      </c>
      <c r="H16">
        <v>15072.63</v>
      </c>
      <c r="I16">
        <v>56.98</v>
      </c>
      <c r="J16">
        <v>42.99</v>
      </c>
      <c r="K16">
        <v>2.5</v>
      </c>
      <c r="L16">
        <v>-0.48</v>
      </c>
      <c r="M16">
        <v>13.55</v>
      </c>
    </row>
    <row r="17" spans="1:13" x14ac:dyDescent="0.25">
      <c r="A17" s="38" t="s">
        <v>264</v>
      </c>
      <c r="E17">
        <v>248903.93</v>
      </c>
      <c r="F17">
        <v>71.47</v>
      </c>
      <c r="G17">
        <v>62.89</v>
      </c>
      <c r="H17">
        <v>33728.870000000003</v>
      </c>
      <c r="I17">
        <v>131.02000000000001</v>
      </c>
      <c r="J17">
        <v>95.02</v>
      </c>
      <c r="K17">
        <v>5.71</v>
      </c>
      <c r="L17">
        <v>0.66</v>
      </c>
      <c r="M17">
        <v>29.18</v>
      </c>
    </row>
    <row r="18" spans="1:13" x14ac:dyDescent="0.25">
      <c r="A18" s="38" t="s">
        <v>265</v>
      </c>
      <c r="E18">
        <v>2104.5</v>
      </c>
      <c r="F18">
        <v>22.51</v>
      </c>
      <c r="G18">
        <v>27.14</v>
      </c>
      <c r="H18">
        <v>209</v>
      </c>
      <c r="I18">
        <v>3.94</v>
      </c>
      <c r="J18">
        <v>3.65</v>
      </c>
      <c r="K18">
        <v>1.33</v>
      </c>
      <c r="L18">
        <v>-1.76</v>
      </c>
      <c r="M18">
        <v>0.87</v>
      </c>
    </row>
    <row r="20" spans="1:13" x14ac:dyDescent="0.25">
      <c r="A20" s="38" t="s">
        <v>103</v>
      </c>
      <c r="E20">
        <v>4.0919999999999996</v>
      </c>
      <c r="F20">
        <v>0.51200000000000001</v>
      </c>
      <c r="G20">
        <v>0.69799999999999995</v>
      </c>
      <c r="H20">
        <v>3.8420000000000001</v>
      </c>
      <c r="I20">
        <v>0.247</v>
      </c>
      <c r="J20">
        <v>1.276</v>
      </c>
      <c r="K20">
        <v>0.64400000000000002</v>
      </c>
      <c r="L20">
        <v>0.28599999999999998</v>
      </c>
      <c r="M20">
        <v>1.0389999999999999</v>
      </c>
    </row>
    <row r="22" spans="1:13" x14ac:dyDescent="0.25">
      <c r="A22" s="33" t="s">
        <v>266</v>
      </c>
    </row>
    <row r="23" spans="1:13" x14ac:dyDescent="0.25">
      <c r="A23" s="33" t="s">
        <v>267</v>
      </c>
    </row>
    <row r="24" spans="1:13" x14ac:dyDescent="0.25">
      <c r="A24" s="33" t="s">
        <v>268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2"/>
  <sheetViews>
    <sheetView workbookViewId="0"/>
  </sheetViews>
  <sheetFormatPr defaultRowHeight="15" x14ac:dyDescent="0.25"/>
  <cols>
    <col min="1" max="1" width="62" customWidth="1"/>
    <col min="2" max="8" width="15" customWidth="1"/>
  </cols>
  <sheetData>
    <row r="1" spans="1:8" ht="15.75" customHeight="1" x14ac:dyDescent="0.25">
      <c r="A1" s="37" t="s">
        <v>24</v>
      </c>
    </row>
    <row r="2" spans="1:8" x14ac:dyDescent="0.25">
      <c r="A2" t="s">
        <v>269</v>
      </c>
    </row>
    <row r="3" spans="1:8" x14ac:dyDescent="0.25">
      <c r="A3" s="33" t="s">
        <v>270</v>
      </c>
    </row>
    <row r="5" spans="1:8" x14ac:dyDescent="0.25">
      <c r="A5" s="39" t="s">
        <v>271</v>
      </c>
    </row>
    <row r="6" spans="1:8" x14ac:dyDescent="0.25">
      <c r="A6" s="38"/>
    </row>
    <row r="7" spans="1:8" x14ac:dyDescent="0.25">
      <c r="A7" s="38" t="s">
        <v>272</v>
      </c>
    </row>
    <row r="8" spans="1:8" x14ac:dyDescent="0.25">
      <c r="A8" t="s">
        <v>273</v>
      </c>
      <c r="B8" s="38">
        <v>2025</v>
      </c>
      <c r="C8" s="38">
        <v>2024</v>
      </c>
      <c r="D8" s="38">
        <v>2023</v>
      </c>
      <c r="E8" s="38">
        <v>2022</v>
      </c>
      <c r="F8" s="38">
        <v>2021</v>
      </c>
      <c r="G8" s="38">
        <v>2020</v>
      </c>
      <c r="H8" s="38">
        <v>2019</v>
      </c>
    </row>
    <row r="9" spans="1:8" x14ac:dyDescent="0.25">
      <c r="A9" t="s">
        <v>274</v>
      </c>
      <c r="B9" s="40">
        <v>2.5299999999999998</v>
      </c>
      <c r="C9" s="40">
        <v>2.35</v>
      </c>
      <c r="D9" s="40">
        <v>1.74</v>
      </c>
      <c r="E9" s="40">
        <v>1.26</v>
      </c>
      <c r="F9" s="40">
        <v>1.88</v>
      </c>
      <c r="G9" s="40">
        <v>1.32</v>
      </c>
      <c r="H9" s="40">
        <v>1.38</v>
      </c>
    </row>
    <row r="10" spans="1:8" x14ac:dyDescent="0.25">
      <c r="A10" t="s">
        <v>124</v>
      </c>
      <c r="B10" s="40">
        <v>7.71</v>
      </c>
      <c r="C10" s="40">
        <v>12.6</v>
      </c>
      <c r="D10" s="40">
        <v>34.979999999999997</v>
      </c>
      <c r="E10" s="40">
        <v>3.61</v>
      </c>
      <c r="F10" s="40">
        <v>6.26</v>
      </c>
      <c r="G10" s="40">
        <v>5.74</v>
      </c>
      <c r="H10" s="40">
        <v>3.76</v>
      </c>
    </row>
    <row r="11" spans="1:8" x14ac:dyDescent="0.25">
      <c r="A11" t="s">
        <v>275</v>
      </c>
      <c r="B11" s="40">
        <v>16.07</v>
      </c>
      <c r="C11" s="40">
        <v>137.33000000000001</v>
      </c>
      <c r="D11" s="40" t="s">
        <v>276</v>
      </c>
      <c r="E11" s="40">
        <v>7.4</v>
      </c>
      <c r="F11" s="40">
        <v>14.4</v>
      </c>
      <c r="G11" s="40">
        <v>19.5</v>
      </c>
      <c r="H11" s="40">
        <v>8.1199999999999992</v>
      </c>
    </row>
    <row r="13" spans="1:8" x14ac:dyDescent="0.25">
      <c r="A13" t="s">
        <v>277</v>
      </c>
      <c r="B13" t="s">
        <v>278</v>
      </c>
    </row>
    <row r="14" spans="1:8" x14ac:dyDescent="0.25">
      <c r="B14" t="s">
        <v>279</v>
      </c>
    </row>
    <row r="16" spans="1:8" x14ac:dyDescent="0.25">
      <c r="A16" s="38" t="s">
        <v>280</v>
      </c>
    </row>
    <row r="17" spans="1:4" x14ac:dyDescent="0.25">
      <c r="A17" s="33" t="s">
        <v>281</v>
      </c>
    </row>
    <row r="18" spans="1:4" x14ac:dyDescent="0.25">
      <c r="A18" t="s">
        <v>282</v>
      </c>
      <c r="B18">
        <v>924.03</v>
      </c>
    </row>
    <row r="19" spans="1:4" x14ac:dyDescent="0.25">
      <c r="A19" t="s">
        <v>283</v>
      </c>
      <c r="B19">
        <v>89.22</v>
      </c>
    </row>
    <row r="20" spans="1:4" x14ac:dyDescent="0.25">
      <c r="A20" t="s">
        <v>284</v>
      </c>
      <c r="B20">
        <f>B18/B19</f>
        <v>10.356758574310692</v>
      </c>
    </row>
    <row r="21" spans="1:4" x14ac:dyDescent="0.25">
      <c r="A21" t="s">
        <v>285</v>
      </c>
      <c r="B21">
        <v>65.17</v>
      </c>
    </row>
    <row r="22" spans="1:4" x14ac:dyDescent="0.25">
      <c r="A22" s="38"/>
    </row>
    <row r="23" spans="1:4" x14ac:dyDescent="0.25">
      <c r="A23" s="38" t="s">
        <v>286</v>
      </c>
      <c r="B23" s="38" t="s">
        <v>287</v>
      </c>
      <c r="C23" s="38" t="s">
        <v>288</v>
      </c>
      <c r="D23" s="38" t="s">
        <v>289</v>
      </c>
    </row>
    <row r="24" spans="1:4" x14ac:dyDescent="0.25">
      <c r="A24">
        <v>0.15</v>
      </c>
      <c r="B24">
        <f t="shared" ref="B24:B30" si="0">(A24-0.025)/(0.11-0.025)</f>
        <v>1.4705882352941178</v>
      </c>
      <c r="C24">
        <f t="shared" ref="C24:C30" si="1">B24*$B$19</f>
        <v>131.20588235294119</v>
      </c>
      <c r="D24">
        <f t="shared" ref="D24:D30" si="2">C24/$B$18-1</f>
        <v>-0.858006901991341</v>
      </c>
    </row>
    <row r="25" spans="1:4" x14ac:dyDescent="0.25">
      <c r="A25">
        <v>0.2</v>
      </c>
      <c r="B25">
        <f t="shared" si="0"/>
        <v>2.0588235294117649</v>
      </c>
      <c r="C25">
        <f t="shared" si="1"/>
        <v>183.68823529411767</v>
      </c>
      <c r="D25">
        <f t="shared" si="2"/>
        <v>-0.80120966278787731</v>
      </c>
    </row>
    <row r="26" spans="1:4" x14ac:dyDescent="0.25">
      <c r="A26">
        <v>0.25</v>
      </c>
      <c r="B26">
        <f t="shared" si="0"/>
        <v>2.6470588235294121</v>
      </c>
      <c r="C26">
        <f t="shared" si="1"/>
        <v>236.17058823529416</v>
      </c>
      <c r="D26">
        <f t="shared" si="2"/>
        <v>-0.74441242358441373</v>
      </c>
    </row>
    <row r="27" spans="1:4" x14ac:dyDescent="0.25">
      <c r="A27">
        <v>0.3</v>
      </c>
      <c r="B27">
        <f t="shared" si="0"/>
        <v>3.2352941176470589</v>
      </c>
      <c r="C27">
        <f t="shared" si="1"/>
        <v>288.65294117647056</v>
      </c>
      <c r="D27">
        <f t="shared" si="2"/>
        <v>-0.68761518438095015</v>
      </c>
    </row>
    <row r="28" spans="1:4" x14ac:dyDescent="0.25">
      <c r="A28">
        <v>0.4</v>
      </c>
      <c r="B28">
        <f t="shared" si="0"/>
        <v>4.4117647058823533</v>
      </c>
      <c r="C28">
        <f t="shared" si="1"/>
        <v>393.61764705882354</v>
      </c>
      <c r="D28">
        <f t="shared" si="2"/>
        <v>-0.57402070597402299</v>
      </c>
    </row>
    <row r="29" spans="1:4" x14ac:dyDescent="0.25">
      <c r="A29">
        <v>0.5</v>
      </c>
      <c r="B29">
        <f t="shared" si="0"/>
        <v>5.5882352941176476</v>
      </c>
      <c r="C29">
        <f t="shared" si="1"/>
        <v>498.58235294117651</v>
      </c>
      <c r="D29">
        <f t="shared" si="2"/>
        <v>-0.46042622756709572</v>
      </c>
    </row>
    <row r="30" spans="1:4" x14ac:dyDescent="0.25">
      <c r="A30">
        <v>0.65</v>
      </c>
      <c r="B30">
        <f t="shared" si="0"/>
        <v>7.3529411764705888</v>
      </c>
      <c r="C30">
        <f t="shared" si="1"/>
        <v>656.02941176470597</v>
      </c>
      <c r="D30">
        <f t="shared" si="2"/>
        <v>-0.29003450995670488</v>
      </c>
    </row>
    <row r="32" spans="1:4" x14ac:dyDescent="0.25">
      <c r="A32" t="s">
        <v>290</v>
      </c>
      <c r="B32" s="38">
        <v>0.90500000000000003</v>
      </c>
    </row>
    <row r="33" spans="1:3" x14ac:dyDescent="0.25">
      <c r="A33" s="33" t="s">
        <v>291</v>
      </c>
    </row>
    <row r="35" spans="1:3" x14ac:dyDescent="0.25">
      <c r="A35" s="38" t="s">
        <v>292</v>
      </c>
    </row>
    <row r="36" spans="1:3" x14ac:dyDescent="0.25">
      <c r="A36" t="s">
        <v>293</v>
      </c>
      <c r="B36">
        <v>532</v>
      </c>
      <c r="C36">
        <f t="shared" ref="C36:C42" si="3">B36/924.03-1</f>
        <v>-0.42426111706329883</v>
      </c>
    </row>
    <row r="37" spans="1:3" x14ac:dyDescent="0.25">
      <c r="A37" t="s">
        <v>294</v>
      </c>
      <c r="B37">
        <v>155</v>
      </c>
      <c r="C37">
        <f t="shared" si="3"/>
        <v>-0.83225652846769038</v>
      </c>
    </row>
    <row r="38" spans="1:3" x14ac:dyDescent="0.25">
      <c r="A38" t="s">
        <v>295</v>
      </c>
      <c r="B38">
        <v>226</v>
      </c>
      <c r="C38">
        <f t="shared" si="3"/>
        <v>-0.75541919634643895</v>
      </c>
    </row>
    <row r="39" spans="1:3" x14ac:dyDescent="0.25">
      <c r="A39" t="s">
        <v>296</v>
      </c>
      <c r="B39">
        <v>184</v>
      </c>
      <c r="C39">
        <f t="shared" si="3"/>
        <v>-0.80087226605196804</v>
      </c>
    </row>
    <row r="40" spans="1:3" x14ac:dyDescent="0.25">
      <c r="A40" t="s">
        <v>297</v>
      </c>
      <c r="B40">
        <v>289</v>
      </c>
      <c r="C40">
        <f t="shared" si="3"/>
        <v>-0.68723959178814542</v>
      </c>
    </row>
    <row r="41" spans="1:3" x14ac:dyDescent="0.25">
      <c r="A41" t="s">
        <v>298</v>
      </c>
      <c r="B41">
        <v>257</v>
      </c>
      <c r="C41">
        <f t="shared" si="3"/>
        <v>-0.72187050203997705</v>
      </c>
    </row>
    <row r="42" spans="1:3" x14ac:dyDescent="0.25">
      <c r="A42" t="s">
        <v>299</v>
      </c>
      <c r="B42">
        <v>131</v>
      </c>
      <c r="C42">
        <f t="shared" si="3"/>
        <v>-0.85822971115656421</v>
      </c>
    </row>
    <row r="44" spans="1:3" x14ac:dyDescent="0.25">
      <c r="A44" s="41" t="s">
        <v>300</v>
      </c>
    </row>
    <row r="45" spans="1:3" x14ac:dyDescent="0.25">
      <c r="A45" s="49" t="s">
        <v>301</v>
      </c>
    </row>
    <row r="47" spans="1:3" x14ac:dyDescent="0.25">
      <c r="A47" s="47" t="s">
        <v>302</v>
      </c>
    </row>
    <row r="48" spans="1:3" x14ac:dyDescent="0.25">
      <c r="A48" s="46" t="s">
        <v>303</v>
      </c>
    </row>
    <row r="50" spans="1:2" x14ac:dyDescent="0.25">
      <c r="A50" t="s">
        <v>304</v>
      </c>
      <c r="B50" s="51">
        <v>437</v>
      </c>
    </row>
    <row r="51" spans="1:2" x14ac:dyDescent="0.25">
      <c r="A51" t="s">
        <v>305</v>
      </c>
      <c r="B51" s="51">
        <v>550</v>
      </c>
    </row>
    <row r="52" spans="1:2" x14ac:dyDescent="0.25">
      <c r="A52" t="s">
        <v>306</v>
      </c>
      <c r="B52" s="51">
        <v>284</v>
      </c>
    </row>
    <row r="53" spans="1:2" x14ac:dyDescent="0.25">
      <c r="A53" t="s">
        <v>307</v>
      </c>
      <c r="B53" s="51">
        <v>760</v>
      </c>
    </row>
    <row r="54" spans="1:2" x14ac:dyDescent="0.25">
      <c r="A54" t="s">
        <v>306</v>
      </c>
      <c r="B54" s="51">
        <v>393</v>
      </c>
    </row>
    <row r="55" spans="1:2" x14ac:dyDescent="0.25">
      <c r="A55" t="s">
        <v>308</v>
      </c>
      <c r="B55" s="51">
        <v>1105</v>
      </c>
    </row>
    <row r="56" spans="1:2" x14ac:dyDescent="0.25">
      <c r="A56" t="s">
        <v>306</v>
      </c>
      <c r="B56" s="51">
        <v>571</v>
      </c>
    </row>
    <row r="58" spans="1:2" x14ac:dyDescent="0.25">
      <c r="A58" t="s">
        <v>309</v>
      </c>
      <c r="B58" s="51">
        <v>357</v>
      </c>
    </row>
    <row r="59" spans="1:2" x14ac:dyDescent="0.25">
      <c r="A59" t="s">
        <v>310</v>
      </c>
      <c r="B59" s="51">
        <v>406</v>
      </c>
    </row>
    <row r="61" spans="1:2" x14ac:dyDescent="0.25">
      <c r="A61" s="47" t="s">
        <v>311</v>
      </c>
    </row>
    <row r="62" spans="1:2" x14ac:dyDescent="0.25">
      <c r="A62" t="s">
        <v>312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8"/>
  <sheetViews>
    <sheetView tabSelected="1" workbookViewId="0"/>
  </sheetViews>
  <sheetFormatPr defaultRowHeight="15" x14ac:dyDescent="0.25"/>
  <cols>
    <col min="1" max="1" width="42" customWidth="1"/>
    <col min="2" max="2" width="16" customWidth="1"/>
    <col min="3" max="3" width="62" customWidth="1"/>
  </cols>
  <sheetData>
    <row r="1" spans="1:3" ht="15.75" customHeight="1" x14ac:dyDescent="0.25">
      <c r="A1" s="37" t="s">
        <v>313</v>
      </c>
    </row>
    <row r="2" spans="1:3" x14ac:dyDescent="0.25">
      <c r="A2" s="33" t="s">
        <v>314</v>
      </c>
    </row>
    <row r="4" spans="1:3" x14ac:dyDescent="0.25">
      <c r="A4" s="38" t="s">
        <v>315</v>
      </c>
    </row>
    <row r="5" spans="1:3" x14ac:dyDescent="0.25">
      <c r="A5" t="s">
        <v>316</v>
      </c>
      <c r="B5">
        <v>4.9700000000000001E-2</v>
      </c>
      <c r="C5" s="33" t="s">
        <v>317</v>
      </c>
    </row>
    <row r="6" spans="1:3" x14ac:dyDescent="0.25">
      <c r="A6" t="s">
        <v>318</v>
      </c>
      <c r="B6">
        <v>0.05</v>
      </c>
      <c r="C6" s="33" t="s">
        <v>319</v>
      </c>
    </row>
    <row r="7" spans="1:3" x14ac:dyDescent="0.25">
      <c r="A7" t="s">
        <v>320</v>
      </c>
      <c r="B7">
        <v>5.8999999999999997E-2</v>
      </c>
      <c r="C7" s="33" t="s">
        <v>321</v>
      </c>
    </row>
    <row r="8" spans="1:3" x14ac:dyDescent="0.25">
      <c r="A8" t="s">
        <v>322</v>
      </c>
      <c r="B8">
        <v>0.15</v>
      </c>
      <c r="C8" s="33" t="s">
        <v>323</v>
      </c>
    </row>
    <row r="9" spans="1:3" x14ac:dyDescent="0.25">
      <c r="A9" t="s">
        <v>324</v>
      </c>
      <c r="B9">
        <v>1058014.3500000001</v>
      </c>
      <c r="C9" s="33" t="s">
        <v>325</v>
      </c>
    </row>
    <row r="10" spans="1:3" x14ac:dyDescent="0.25">
      <c r="A10" t="s">
        <v>326</v>
      </c>
      <c r="B10">
        <v>5722</v>
      </c>
      <c r="C10" s="33" t="s">
        <v>327</v>
      </c>
    </row>
    <row r="12" spans="1:3" x14ac:dyDescent="0.25">
      <c r="A12" s="38" t="s">
        <v>328</v>
      </c>
    </row>
    <row r="13" spans="1:3" x14ac:dyDescent="0.25">
      <c r="A13" t="s">
        <v>329</v>
      </c>
      <c r="B13">
        <v>2.25</v>
      </c>
      <c r="C13" s="33" t="s">
        <v>330</v>
      </c>
    </row>
    <row r="14" spans="1:3" x14ac:dyDescent="0.25">
      <c r="A14" t="s">
        <v>331</v>
      </c>
      <c r="B14" s="66">
        <f>0.67*B13+0.33</f>
        <v>1.8375000000000001</v>
      </c>
      <c r="C14" s="33" t="s">
        <v>332</v>
      </c>
    </row>
    <row r="15" spans="1:3" x14ac:dyDescent="0.25">
      <c r="A15" t="s">
        <v>333</v>
      </c>
      <c r="B15">
        <v>1.84</v>
      </c>
      <c r="C15" s="33" t="s">
        <v>334</v>
      </c>
    </row>
    <row r="16" spans="1:3" x14ac:dyDescent="0.25">
      <c r="A16" t="s">
        <v>335</v>
      </c>
      <c r="B16" s="66">
        <f>B14</f>
        <v>1.8375000000000001</v>
      </c>
      <c r="C16" s="33" t="s">
        <v>336</v>
      </c>
    </row>
    <row r="17" spans="1:7" x14ac:dyDescent="0.25">
      <c r="A17" s="38"/>
    </row>
    <row r="18" spans="1:7" x14ac:dyDescent="0.25">
      <c r="A18" s="38" t="s">
        <v>337</v>
      </c>
    </row>
    <row r="19" spans="1:7" x14ac:dyDescent="0.25">
      <c r="A19" t="s">
        <v>338</v>
      </c>
      <c r="B19" s="67">
        <f>B5+B16*B6</f>
        <v>0.14157500000000001</v>
      </c>
    </row>
    <row r="20" spans="1:7" x14ac:dyDescent="0.25">
      <c r="A20" t="s">
        <v>339</v>
      </c>
      <c r="B20" s="67">
        <f>B7*(1-B8)</f>
        <v>5.0149999999999993E-2</v>
      </c>
    </row>
    <row r="21" spans="1:7" x14ac:dyDescent="0.25">
      <c r="A21" t="s">
        <v>340</v>
      </c>
      <c r="B21" s="67">
        <f>B9/(B9+B10)</f>
        <v>0.99462084754366065</v>
      </c>
    </row>
    <row r="22" spans="1:7" x14ac:dyDescent="0.25">
      <c r="A22" s="38" t="s">
        <v>341</v>
      </c>
      <c r="B22" s="67">
        <f>B10/(B9+B10)</f>
        <v>5.3791524563393924E-3</v>
      </c>
    </row>
    <row r="23" spans="1:7" x14ac:dyDescent="0.25">
      <c r="A23" t="s">
        <v>342</v>
      </c>
      <c r="B23" s="67">
        <f>B19*B21+B20*B22</f>
        <v>0.14108321098667917</v>
      </c>
      <c r="C23" s="33" t="s">
        <v>343</v>
      </c>
    </row>
    <row r="24" spans="1:7" x14ac:dyDescent="0.25">
      <c r="A24" s="38"/>
    </row>
    <row r="25" spans="1:7" x14ac:dyDescent="0.25">
      <c r="A25" s="38" t="s">
        <v>344</v>
      </c>
    </row>
    <row r="26" spans="1:7" x14ac:dyDescent="0.25">
      <c r="A26" t="s">
        <v>345</v>
      </c>
      <c r="B26" s="67">
        <f>B5+2.25*B6</f>
        <v>0.16220000000000001</v>
      </c>
    </row>
    <row r="27" spans="1:7" x14ac:dyDescent="0.25">
      <c r="A27" t="s">
        <v>346</v>
      </c>
      <c r="B27" s="67">
        <f>B5+1.84*B6</f>
        <v>0.14170000000000002</v>
      </c>
    </row>
    <row r="28" spans="1:7" x14ac:dyDescent="0.25">
      <c r="A28" t="s">
        <v>347</v>
      </c>
      <c r="B28" s="67">
        <f>B5+1.56*B6</f>
        <v>0.12770000000000001</v>
      </c>
    </row>
    <row r="29" spans="1:7" x14ac:dyDescent="0.25">
      <c r="A29" t="s">
        <v>348</v>
      </c>
      <c r="B29" s="67">
        <v>0.11</v>
      </c>
    </row>
    <row r="31" spans="1:7" x14ac:dyDescent="0.25">
      <c r="A31" s="68" t="s">
        <v>349</v>
      </c>
    </row>
    <row r="32" spans="1:7" x14ac:dyDescent="0.25">
      <c r="A32" s="38" t="s">
        <v>350</v>
      </c>
      <c r="B32" s="38" t="s">
        <v>84</v>
      </c>
      <c r="C32" s="38" t="s">
        <v>351</v>
      </c>
      <c r="D32" s="38" t="s">
        <v>352</v>
      </c>
      <c r="E32" s="38" t="s">
        <v>353</v>
      </c>
      <c r="F32" s="38" t="s">
        <v>354</v>
      </c>
      <c r="G32" s="38" t="s">
        <v>355</v>
      </c>
    </row>
    <row r="33" spans="1:7" x14ac:dyDescent="0.25">
      <c r="A33">
        <v>0.11</v>
      </c>
      <c r="B33" t="s">
        <v>356</v>
      </c>
      <c r="C33">
        <v>1049</v>
      </c>
      <c r="D33">
        <v>453</v>
      </c>
      <c r="E33">
        <v>173</v>
      </c>
      <c r="F33">
        <v>532</v>
      </c>
      <c r="G33">
        <v>-0.42</v>
      </c>
    </row>
    <row r="34" spans="1:7" x14ac:dyDescent="0.25">
      <c r="A34">
        <v>0.12740000000000001</v>
      </c>
      <c r="B34" t="s">
        <v>357</v>
      </c>
      <c r="C34">
        <v>862</v>
      </c>
      <c r="D34">
        <v>392</v>
      </c>
      <c r="E34">
        <v>162</v>
      </c>
      <c r="F34">
        <v>452</v>
      </c>
      <c r="G34">
        <v>-0.51</v>
      </c>
    </row>
    <row r="35" spans="1:7" x14ac:dyDescent="0.25">
      <c r="A35" s="38">
        <v>0.1411</v>
      </c>
      <c r="B35" s="38" t="s">
        <v>358</v>
      </c>
      <c r="C35" s="38">
        <v>758</v>
      </c>
      <c r="D35" s="38">
        <v>357</v>
      </c>
      <c r="E35" s="38">
        <v>154</v>
      </c>
      <c r="F35" s="38">
        <v>406</v>
      </c>
      <c r="G35" s="38">
        <v>-0.56000000000000005</v>
      </c>
    </row>
    <row r="36" spans="1:7" x14ac:dyDescent="0.25">
      <c r="A36">
        <v>0.16159999999999999</v>
      </c>
      <c r="B36" t="s">
        <v>359</v>
      </c>
      <c r="C36">
        <v>643</v>
      </c>
      <c r="D36">
        <v>316</v>
      </c>
      <c r="E36">
        <v>145</v>
      </c>
      <c r="F36">
        <v>355</v>
      </c>
      <c r="G36">
        <v>-0.62</v>
      </c>
    </row>
    <row r="38" spans="1:7" x14ac:dyDescent="0.25">
      <c r="A38" s="33" t="s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Market Data</vt:lpstr>
      <vt:lpstr>Financial Data</vt:lpstr>
      <vt:lpstr>Valuation Multiples</vt:lpstr>
      <vt:lpstr>Implied Valuation</vt:lpstr>
      <vt:lpstr>Current Comps (USD)</vt:lpstr>
      <vt:lpstr>Peer Benchmark (S4)</vt:lpstr>
      <vt:lpstr>Normalized &amp; P-B vs ROE</vt:lpstr>
      <vt:lpstr>WACC Build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 Lenz</cp:lastModifiedBy>
  <cp:revision>0</cp:revision>
  <dcterms:created xsi:type="dcterms:W3CDTF">2026-03-20T17:52:40Z</dcterms:created>
  <dcterms:modified xsi:type="dcterms:W3CDTF">2026-09-16T20:36:50Z</dcterms:modified>
  <dc:language>en-US</dc:language>
</cp:coreProperties>
</file>