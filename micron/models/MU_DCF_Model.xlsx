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Lewis\IC '26 - '27\SMIFC - Chicago\data + files\"/>
    </mc:Choice>
  </mc:AlternateContent>
  <xr:revisionPtr revIDLastSave="0" documentId="13_ncr:1_{7E11F85C-930C-4539-A2B4-0E22F91220E4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Assumptions" sheetId="1" r:id="rId1"/>
    <sheet name="Unlevered FCF" sheetId="2" r:id="rId2"/>
    <sheet name="DCF Valuation" sheetId="3" r:id="rId3"/>
    <sheet name="Scenario Summary" sheetId="4" r:id="rId4"/>
    <sheet name="Reverse DC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H9" i="4"/>
  <c r="I7" i="4"/>
  <c r="I6" i="4"/>
  <c r="I5" i="4"/>
  <c r="I9" i="4" s="1"/>
  <c r="I11" i="4" s="1"/>
  <c r="B18" i="3"/>
  <c r="B14" i="3"/>
  <c r="F61" i="1"/>
  <c r="E61" i="1"/>
  <c r="D61" i="1"/>
  <c r="C61" i="1"/>
  <c r="B61" i="1"/>
  <c r="F55" i="1"/>
  <c r="F7" i="2" s="1"/>
  <c r="E55" i="1"/>
  <c r="E7" i="2" s="1"/>
  <c r="D55" i="1"/>
  <c r="D7" i="2" s="1"/>
  <c r="C55" i="1"/>
  <c r="C7" i="2" s="1"/>
  <c r="B55" i="1"/>
  <c r="B7" i="2" s="1"/>
  <c r="F49" i="1"/>
  <c r="F5" i="2" s="1"/>
  <c r="F14" i="2" s="1"/>
  <c r="E49" i="1"/>
  <c r="E5" i="2" s="1"/>
  <c r="E14" i="2" s="1"/>
  <c r="D49" i="1"/>
  <c r="D5" i="2" s="1"/>
  <c r="D14" i="2" s="1"/>
  <c r="C49" i="1"/>
  <c r="C5" i="2" s="1"/>
  <c r="B49" i="1"/>
  <c r="B5" i="2" s="1"/>
  <c r="B37" i="1"/>
  <c r="B16" i="3" s="1"/>
  <c r="B30" i="1"/>
  <c r="B6" i="3" s="1"/>
  <c r="B21" i="1"/>
  <c r="B20" i="1"/>
  <c r="B18" i="1"/>
  <c r="B17" i="1"/>
  <c r="B13" i="1"/>
  <c r="B14" i="1" s="1"/>
  <c r="B22" i="1" s="1"/>
  <c r="B27" i="1" s="1"/>
  <c r="C7" i="1"/>
  <c r="A2" i="3" s="1"/>
  <c r="D15" i="2" l="1"/>
  <c r="E15" i="2"/>
  <c r="C15" i="2"/>
  <c r="C14" i="2"/>
  <c r="C9" i="2"/>
  <c r="C8" i="2"/>
  <c r="C10" i="2" s="1"/>
  <c r="D6" i="2"/>
  <c r="F19" i="2"/>
  <c r="D19" i="2"/>
  <c r="E19" i="2"/>
  <c r="C19" i="2"/>
  <c r="B19" i="2"/>
  <c r="B7" i="3"/>
  <c r="B15" i="2"/>
  <c r="B14" i="2"/>
  <c r="B6" i="2"/>
  <c r="B8" i="2"/>
  <c r="C6" i="2"/>
  <c r="B9" i="2"/>
  <c r="F15" i="2"/>
  <c r="E6" i="2"/>
  <c r="F6" i="2"/>
  <c r="B12" i="3"/>
  <c r="D8" i="2"/>
  <c r="D10" i="2" s="1"/>
  <c r="E8" i="2"/>
  <c r="F8" i="2"/>
  <c r="D9" i="2"/>
  <c r="A2" i="2"/>
  <c r="E9" i="2"/>
  <c r="F9" i="2"/>
  <c r="E10" i="2" l="1"/>
  <c r="F10" i="2"/>
  <c r="E11" i="2"/>
  <c r="E12" i="2"/>
  <c r="E13" i="2" s="1"/>
  <c r="E16" i="2" s="1"/>
  <c r="F12" i="2"/>
  <c r="F13" i="2" s="1"/>
  <c r="F16" i="2" s="1"/>
  <c r="F11" i="2"/>
  <c r="D12" i="2"/>
  <c r="D13" i="2" s="1"/>
  <c r="D16" i="2" s="1"/>
  <c r="D11" i="2"/>
  <c r="B10" i="2"/>
  <c r="C11" i="2"/>
  <c r="C12" i="2"/>
  <c r="C13" i="2" s="1"/>
  <c r="C16" i="2" s="1"/>
  <c r="D20" i="2" l="1"/>
  <c r="D17" i="2"/>
  <c r="C20" i="2"/>
  <c r="C17" i="2"/>
  <c r="E20" i="2"/>
  <c r="E17" i="2"/>
  <c r="F20" i="2"/>
  <c r="B5" i="3"/>
  <c r="B8" i="3" s="1"/>
  <c r="B9" i="3" s="1"/>
  <c r="F17" i="2"/>
  <c r="B11" i="2"/>
  <c r="B12" i="2"/>
  <c r="B13" i="2" s="1"/>
  <c r="B16" i="2" s="1"/>
  <c r="B20" i="2" l="1"/>
  <c r="B4" i="3" s="1"/>
  <c r="B10" i="3" s="1"/>
  <c r="B13" i="3" s="1"/>
  <c r="B15" i="3" s="1"/>
  <c r="B17" i="3" s="1"/>
  <c r="B19" i="3" s="1"/>
  <c r="B17" i="2"/>
  <c r="F28" i="3"/>
  <c r="E28" i="3"/>
  <c r="B28" i="3"/>
  <c r="F27" i="3"/>
  <c r="D27" i="3"/>
  <c r="C27" i="3"/>
  <c r="B26" i="3"/>
  <c r="C25" i="3"/>
  <c r="D29" i="3"/>
  <c r="F26" i="3"/>
  <c r="E27" i="3"/>
  <c r="D28" i="3"/>
  <c r="D26" i="3"/>
  <c r="C26" i="3"/>
  <c r="B27" i="3"/>
  <c r="F25" i="3"/>
  <c r="D25" i="3"/>
  <c r="C28" i="3"/>
  <c r="E25" i="3"/>
  <c r="B25" i="3"/>
  <c r="E26" i="3"/>
  <c r="B29" i="3"/>
  <c r="F29" i="3"/>
  <c r="E29" i="3"/>
  <c r="C29" i="3"/>
  <c r="B11" i="3"/>
</calcChain>
</file>

<file path=xl/sharedStrings.xml><?xml version="1.0" encoding="utf-8"?>
<sst xmlns="http://schemas.openxmlformats.org/spreadsheetml/2006/main" count="168" uniqueCount="143">
  <si>
    <t>Micron Technology, Inc. (NASDAQ: MU)</t>
  </si>
  <si>
    <t>Scenario Discounted Cash Flow — contracted / spot tranche decomposition</t>
  </si>
  <si>
    <t>Market data as of 15 Sep 2026. Financials from SEC 10-K/10-Q; FY2026 Q4 at management guidance (8-K 24 Jun 2026).</t>
  </si>
  <si>
    <t>YELLOW = input. GREEN = calculated. Change B7 to switch scenario.</t>
  </si>
  <si>
    <t>SCENARIO SWITCH</t>
  </si>
  <si>
    <t>Active scenario (1=Bull, 2=Base, 3=Bear)</t>
  </si>
  <si>
    <t>COST OF CAPITAL</t>
  </si>
  <si>
    <t>Risk-free rate (US 10Y Treasury)</t>
  </si>
  <si>
    <t>FRED DGS10, 14 Sep 2026</t>
  </si>
  <si>
    <t>Equity risk premium</t>
  </si>
  <si>
    <t>Assumption</t>
  </si>
  <si>
    <t>Levered beta — raw 5-yr monthly</t>
  </si>
  <si>
    <t>LSEG</t>
  </si>
  <si>
    <t>Levered beta — Blume-adjusted (SELECTED)</t>
  </si>
  <si>
    <t>Peer median raw beta is also 1.84</t>
  </si>
  <si>
    <t>Cost of equity</t>
  </si>
  <si>
    <t>Pre-tax cost of debt</t>
  </si>
  <si>
    <t>FRED BAMLC0A4CBBBEY, ICE BofA BBB</t>
  </si>
  <si>
    <t>Marginal tax rate</t>
  </si>
  <si>
    <t>FY26 effective rate 14.6%</t>
  </si>
  <si>
    <t>After-tax cost of debt</t>
  </si>
  <si>
    <t>Market value of equity ($mm)</t>
  </si>
  <si>
    <t>price x diluted shares</t>
  </si>
  <si>
    <t>Total debt ($mm)</t>
  </si>
  <si>
    <t>Q3 FY26 10-Q</t>
  </si>
  <si>
    <t>Equity weight</t>
  </si>
  <si>
    <t>Debt weight</t>
  </si>
  <si>
    <t>WACC — base</t>
  </si>
  <si>
    <t>Scenario WACC spread (bp vs base)</t>
  </si>
  <si>
    <t>Bull</t>
  </si>
  <si>
    <t>Base</t>
  </si>
  <si>
    <t>Bear</t>
  </si>
  <si>
    <t>spread (bp)</t>
  </si>
  <si>
    <t>Active WACC</t>
  </si>
  <si>
    <t>Terminal growth rate</t>
  </si>
  <si>
    <t>Active terminal growth</t>
  </si>
  <si>
    <t>MARKET DATA</t>
  </si>
  <si>
    <t>Share price ($)</t>
  </si>
  <si>
    <t>LSEG, 15 Sep 2026</t>
  </si>
  <si>
    <t>Diluted shares (mm)</t>
  </si>
  <si>
    <t>Cash, marketable &amp; restricted ($mm)</t>
  </si>
  <si>
    <t>Q3 FY26 earnings release</t>
  </si>
  <si>
    <t>Net cash ($mm)</t>
  </si>
  <si>
    <t>Gross PP&amp;E ($mm)</t>
  </si>
  <si>
    <t>Q3 FY26 10-Q; asset-floor proxy</t>
  </si>
  <si>
    <t>FORECAST DRIVERS — by scenario</t>
  </si>
  <si>
    <t>FY2027 and FY2028 are LSEG I/B/E/S MEAN CONSENSUS in all three scenarios (retrieved 15 Sep 2026) - sourced, not modelled.</t>
  </si>
  <si>
    <t>The scenarios differ only in the FY2029-FY2031 reversion path. That isolates the disagreement to the years consensus does not reach.</t>
  </si>
  <si>
    <t>FY2027E</t>
  </si>
  <si>
    <t>FY2028E</t>
  </si>
  <si>
    <t>FY2029E</t>
  </si>
  <si>
    <t>FY2030E</t>
  </si>
  <si>
    <t>FY2031E</t>
  </si>
  <si>
    <t>Revenue ($B)</t>
  </si>
  <si>
    <t xml:space="preserve">   Bull</t>
  </si>
  <si>
    <t xml:space="preserve">   Base</t>
  </si>
  <si>
    <t xml:space="preserve">   Bear</t>
  </si>
  <si>
    <t xml:space="preserve">   ACTIVE</t>
  </si>
  <si>
    <t>Blended gross margin</t>
  </si>
  <si>
    <t>Capex / sales</t>
  </si>
  <si>
    <t>Operating expenses / sales</t>
  </si>
  <si>
    <t>D&amp;A / sales</t>
  </si>
  <si>
    <t>Cash tax rate on EBIT</t>
  </si>
  <si>
    <t>NOTE ON CAPEX: it glides toward D&amp;A plus growth capital rather than staying at build-out rates.</t>
  </si>
  <si>
    <t>Holding capex at 24% in perpetuity would impose a permanent ~10pt drag on terminal FCF and overstate the bear case by ~$130/share.</t>
  </si>
  <si>
    <t>Unlevered Free Cash Flow Build ($mm unless noted)</t>
  </si>
  <si>
    <t>Revenue</t>
  </si>
  <si>
    <t>Revenue growth</t>
  </si>
  <si>
    <t>Gross profit</t>
  </si>
  <si>
    <t>Operating expenses</t>
  </si>
  <si>
    <t>EBIT</t>
  </si>
  <si>
    <t>EBIT margin</t>
  </si>
  <si>
    <t>Less: cash taxes on EBIT</t>
  </si>
  <si>
    <t>NOPAT</t>
  </si>
  <si>
    <t>Plus: D&amp;A</t>
  </si>
  <si>
    <t>Less: capital expenditure</t>
  </si>
  <si>
    <t>Unlevered free cash flow</t>
  </si>
  <si>
    <t>UFCF margin</t>
  </si>
  <si>
    <t>Discount period</t>
  </si>
  <si>
    <t>Discount factor</t>
  </si>
  <si>
    <t>PV of UFCF</t>
  </si>
  <si>
    <t>DCF Valuation Summary</t>
  </si>
  <si>
    <t>Sum of PV of explicit-period UFCF</t>
  </si>
  <si>
    <t>Terminal year UFCF</t>
  </si>
  <si>
    <t>Terminal growth</t>
  </si>
  <si>
    <t>WACC</t>
  </si>
  <si>
    <t>Terminal value (Gordon growth)</t>
  </si>
  <si>
    <t>PV of terminal value</t>
  </si>
  <si>
    <t>Enterprise value</t>
  </si>
  <si>
    <t>Terminal value as % of EV</t>
  </si>
  <si>
    <t>PASS if under 75%; above that the model is a perpetuity assumption wearing a spreadsheet</t>
  </si>
  <si>
    <t>Plus: net cash</t>
  </si>
  <si>
    <t>Equity value</t>
  </si>
  <si>
    <t>Implied value per share</t>
  </si>
  <si>
    <t>Asset / replacement-cost floor per share</t>
  </si>
  <si>
    <t>Gross PP&amp;E at historical cost plus net cash. Conservative: fab replacement cost exceeds book.</t>
  </si>
  <si>
    <t>Value per share after floor</t>
  </si>
  <si>
    <t>Current share price</t>
  </si>
  <si>
    <t>Implied upside / (downside)</t>
  </si>
  <si>
    <t>SENSITIVITY — value per share: WACC against terminal growth</t>
  </si>
  <si>
    <t>Rows = WACC, columns = terminal growth.</t>
  </si>
  <si>
    <t>Scenario Summary and Probability-Weighted Target</t>
  </si>
  <si>
    <t>Values below are hard-coded from running each scenario. Re-run Assumptions!B7 = 1, 2, 3 and paste DCF Valuation!B17 to refresh.</t>
  </si>
  <si>
    <t>Scenario</t>
  </si>
  <si>
    <t>FY27 rev $B</t>
  </si>
  <si>
    <t>FY31 rev $B</t>
  </si>
  <si>
    <t>FY31 GM</t>
  </si>
  <si>
    <t>TV % of EV</t>
  </si>
  <si>
    <t>Value / share</t>
  </si>
  <si>
    <t>Probability</t>
  </si>
  <si>
    <t>Weighted</t>
  </si>
  <si>
    <t>Bull — consensus holds, reversion shallow and late</t>
  </si>
  <si>
    <t>Base — consensus through FY2028, then the cycle turns</t>
  </si>
  <si>
    <t>Bear — consensus through FY2028, then Chinese supply lands</t>
  </si>
  <si>
    <t>Probability-weighted target</t>
  </si>
  <si>
    <t>Current price</t>
  </si>
  <si>
    <t>FY2027-28 are consensus in all three cases. The bull case ($900) sits only 3% below the market price:</t>
  </si>
  <si>
    <t>if the cycle does not reassert after FY2028, Micron is roughly fairly valued. The recommendation rests entirely on the probability that it does.</t>
  </si>
  <si>
    <t>Reverse DCF — what must be true at $924.03?</t>
  </si>
  <si>
    <t>Solves the model backwards: what sustained revenue and terminal gross margin does the current price require?</t>
  </si>
  <si>
    <t>WACC 14.1%, terminal growth 2.5%, capex converging to 12.5% of sales. Compare against consensus: FY2027 $249B at 85%, FY2028 $290B at 82%.</t>
  </si>
  <si>
    <t>Terminal revenue</t>
  </si>
  <si>
    <t>$100B</t>
  </si>
  <si>
    <t>$120B</t>
  </si>
  <si>
    <t>$140B</t>
  </si>
  <si>
    <t>$160B</t>
  </si>
  <si>
    <t>$180B</t>
  </si>
  <si>
    <t>$200B</t>
  </si>
  <si>
    <t>Terminal gross margin required to justify $924.03</t>
  </si>
  <si>
    <t>Sustained revenue</t>
  </si>
  <si>
    <t>Required terminal GM</t>
  </si>
  <si>
    <t>126%</t>
  </si>
  <si>
    <t>exceeds any gross margin ever recorded in memory</t>
  </si>
  <si>
    <t>112%</t>
  </si>
  <si>
    <t>100%</t>
  </si>
  <si>
    <t>91%</t>
  </si>
  <si>
    <t>$240B</t>
  </si>
  <si>
    <t>77%</t>
  </si>
  <si>
    <t>Micron's five-year mean gross margin is 27.2%; its highest ever is the ~86% guided for Q4 FY2026.</t>
  </si>
  <si>
    <t>The first combination that is even theoretically achievable is $240B of revenue at 77% GM, in perpetuity.</t>
  </si>
  <si>
    <t>CONSENSUS CONTEXT: LSEG I/B/E/S projects $249B at 85% (FY27) and $290B at 82% (FY28), which EXCEEDS</t>
  </si>
  <si>
    <t>the level the current price requires. The market is not pricing beyond consensus - it is pricing at it.</t>
  </si>
  <si>
    <t>The recommendation is therefore a disagreement with consensus about FY2029 onward, not about the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</si>
</sst>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\$#,##0.00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  <font>
      <i/>
      <sz val="9"/>
      <color rgb="FF808080"/>
      <name val="Calibri"/>
      <family val="2"/>
    </font>
    <font>
      <b/>
      <sz val="11"/>
      <color rgb="FFFFFFFF"/>
      <name val="Calibri"/>
      <family val="2"/>
    </font>
    <font>
      <b/>
      <sz val="11"/>
      <color rgb="FFC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DF2F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164" fontId="0" fillId="3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164" fontId="0" fillId="4" borderId="0" xfId="0" applyNumberFormat="1" applyFill="1"/>
    <xf numFmtId="3" fontId="0" fillId="4" borderId="0" xfId="0" applyNumberFormat="1" applyFill="1"/>
    <xf numFmtId="3" fontId="0" fillId="3" borderId="0" xfId="0" applyNumberFormat="1" applyFill="1"/>
    <xf numFmtId="164" fontId="2" fillId="4" borderId="0" xfId="0" applyNumberFormat="1" applyFont="1" applyFill="1"/>
    <xf numFmtId="0" fontId="0" fillId="3" borderId="0" xfId="0" applyFill="1"/>
    <xf numFmtId="165" fontId="0" fillId="3" borderId="0" xfId="0" applyNumberFormat="1" applyFill="1"/>
    <xf numFmtId="0" fontId="4" fillId="5" borderId="0" xfId="0" applyFont="1" applyFill="1"/>
    <xf numFmtId="3" fontId="2" fillId="4" borderId="0" xfId="0" applyNumberFormat="1" applyFont="1" applyFill="1"/>
    <xf numFmtId="166" fontId="0" fillId="4" borderId="0" xfId="0" applyNumberFormat="1" applyFill="1"/>
    <xf numFmtId="165" fontId="0" fillId="4" borderId="0" xfId="0" applyNumberFormat="1" applyFill="1"/>
    <xf numFmtId="165" fontId="2" fillId="4" borderId="0" xfId="0" applyNumberFormat="1" applyFont="1" applyFill="1"/>
    <xf numFmtId="164" fontId="2" fillId="0" borderId="0" xfId="0" applyNumberFormat="1" applyFont="1"/>
    <xf numFmtId="165" fontId="0" fillId="0" borderId="0" xfId="0" applyNumberFormat="1"/>
    <xf numFmtId="164" fontId="0" fillId="0" borderId="0" xfId="0" applyNumberFormat="1"/>
    <xf numFmtId="165" fontId="2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6BBDD1B-9B9A-47C4-9F55-EB5E9ABD2D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opLeftCell="A33" workbookViewId="0">
      <selection activeCell="B7" sqref="B7"/>
    </sheetView>
  </sheetViews>
  <sheetFormatPr defaultRowHeight="15" x14ac:dyDescent="0.25"/>
  <cols>
    <col min="1" max="1" width="44" customWidth="1"/>
    <col min="2" max="2" width="14" customWidth="1"/>
    <col min="3" max="3" width="16" customWidth="1"/>
    <col min="4" max="6" width="14" customWidth="1"/>
  </cols>
  <sheetData>
    <row r="1" spans="1:3" ht="17.25" x14ac:dyDescent="0.3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4" spans="1:3" x14ac:dyDescent="0.25">
      <c r="A4" s="3" t="s">
        <v>3</v>
      </c>
    </row>
    <row r="6" spans="1:3" x14ac:dyDescent="0.25">
      <c r="A6" s="4" t="s">
        <v>4</v>
      </c>
    </row>
    <row r="7" spans="1:3" x14ac:dyDescent="0.25">
      <c r="A7" t="s">
        <v>5</v>
      </c>
      <c r="B7" s="5">
        <v>1</v>
      </c>
      <c r="C7" s="2" t="str">
        <f>IF(B7=1,"BULL",IF(B7=2,"BASE","BEAR"))</f>
        <v>BULL</v>
      </c>
    </row>
    <row r="9" spans="1:3" x14ac:dyDescent="0.25">
      <c r="A9" s="4" t="s">
        <v>6</v>
      </c>
    </row>
    <row r="10" spans="1:3" x14ac:dyDescent="0.25">
      <c r="A10" t="s">
        <v>7</v>
      </c>
      <c r="B10" s="6">
        <v>4.9700000000000001E-2</v>
      </c>
      <c r="C10" s="3" t="s">
        <v>8</v>
      </c>
    </row>
    <row r="11" spans="1:3" x14ac:dyDescent="0.25">
      <c r="A11" t="s">
        <v>9</v>
      </c>
      <c r="B11" s="6">
        <v>0.05</v>
      </c>
      <c r="C11" s="3" t="s">
        <v>10</v>
      </c>
    </row>
    <row r="12" spans="1:3" x14ac:dyDescent="0.25">
      <c r="A12" t="s">
        <v>11</v>
      </c>
      <c r="B12" s="7">
        <v>2.25</v>
      </c>
      <c r="C12" s="3" t="s">
        <v>12</v>
      </c>
    </row>
    <row r="13" spans="1:3" x14ac:dyDescent="0.25">
      <c r="A13" t="s">
        <v>13</v>
      </c>
      <c r="B13" s="8">
        <f>0.67*B12+0.33</f>
        <v>1.8375000000000001</v>
      </c>
      <c r="C13" s="3" t="s">
        <v>14</v>
      </c>
    </row>
    <row r="14" spans="1:3" x14ac:dyDescent="0.25">
      <c r="A14" t="s">
        <v>15</v>
      </c>
      <c r="B14" s="9">
        <f>B10+B13*B11</f>
        <v>0.14157500000000001</v>
      </c>
      <c r="C14" s="3"/>
    </row>
    <row r="15" spans="1:3" x14ac:dyDescent="0.25">
      <c r="A15" t="s">
        <v>16</v>
      </c>
      <c r="B15" s="6">
        <v>5.8999999999999997E-2</v>
      </c>
      <c r="C15" s="3" t="s">
        <v>17</v>
      </c>
    </row>
    <row r="16" spans="1:3" x14ac:dyDescent="0.25">
      <c r="A16" t="s">
        <v>18</v>
      </c>
      <c r="B16" s="6">
        <v>0.15</v>
      </c>
      <c r="C16" s="3" t="s">
        <v>19</v>
      </c>
    </row>
    <row r="17" spans="1:4" x14ac:dyDescent="0.25">
      <c r="A17" t="s">
        <v>20</v>
      </c>
      <c r="B17" s="9">
        <f>B15*(1-B16)</f>
        <v>5.0149999999999993E-2</v>
      </c>
      <c r="C17" s="3"/>
    </row>
    <row r="18" spans="1:4" x14ac:dyDescent="0.25">
      <c r="A18" t="s">
        <v>21</v>
      </c>
      <c r="B18" s="10">
        <f>B34*B35</f>
        <v>1058014.3499999999</v>
      </c>
      <c r="C18" s="3" t="s">
        <v>22</v>
      </c>
    </row>
    <row r="19" spans="1:4" x14ac:dyDescent="0.25">
      <c r="A19" t="s">
        <v>23</v>
      </c>
      <c r="B19" s="11">
        <v>5722</v>
      </c>
      <c r="C19" s="3" t="s">
        <v>24</v>
      </c>
    </row>
    <row r="20" spans="1:4" x14ac:dyDescent="0.25">
      <c r="A20" t="s">
        <v>25</v>
      </c>
      <c r="B20" s="9">
        <f>B18/(B18+B19)</f>
        <v>0.99462084754366065</v>
      </c>
      <c r="C20" s="3"/>
    </row>
    <row r="21" spans="1:4" x14ac:dyDescent="0.25">
      <c r="A21" t="s">
        <v>26</v>
      </c>
      <c r="B21" s="9">
        <f>B19/(B18+B19)</f>
        <v>5.3791524563393932E-3</v>
      </c>
      <c r="C21" s="3"/>
    </row>
    <row r="22" spans="1:4" x14ac:dyDescent="0.25">
      <c r="A22" s="2" t="s">
        <v>27</v>
      </c>
      <c r="B22" s="12">
        <f>B14*B20+B17*B21</f>
        <v>0.14108321098667917</v>
      </c>
      <c r="C22" s="3"/>
    </row>
    <row r="24" spans="1:4" x14ac:dyDescent="0.25">
      <c r="A24" s="2" t="s">
        <v>28</v>
      </c>
    </row>
    <row r="25" spans="1:4" x14ac:dyDescent="0.25">
      <c r="B25" s="2" t="s">
        <v>29</v>
      </c>
      <c r="C25" s="2" t="s">
        <v>30</v>
      </c>
      <c r="D25" s="2" t="s">
        <v>31</v>
      </c>
    </row>
    <row r="26" spans="1:4" x14ac:dyDescent="0.25">
      <c r="A26" t="s">
        <v>32</v>
      </c>
      <c r="B26" s="13">
        <v>-50</v>
      </c>
      <c r="C26" s="13">
        <v>0</v>
      </c>
      <c r="D26" s="13">
        <v>100</v>
      </c>
    </row>
    <row r="27" spans="1:4" x14ac:dyDescent="0.25">
      <c r="A27" s="2" t="s">
        <v>33</v>
      </c>
      <c r="B27" s="12">
        <f>$B$22+INDEX(B26:D26,1,$B$7)/10000</f>
        <v>0.13608321098667917</v>
      </c>
    </row>
    <row r="29" spans="1:4" x14ac:dyDescent="0.25">
      <c r="A29" t="s">
        <v>34</v>
      </c>
      <c r="B29" s="6">
        <v>0.03</v>
      </c>
      <c r="C29" s="6">
        <v>2.5000000000000001E-2</v>
      </c>
      <c r="D29" s="6">
        <v>0.02</v>
      </c>
    </row>
    <row r="30" spans="1:4" x14ac:dyDescent="0.25">
      <c r="A30" t="s">
        <v>35</v>
      </c>
      <c r="B30" s="9">
        <f>INDEX(B29:D29,1,$B$7)</f>
        <v>0.03</v>
      </c>
    </row>
    <row r="32" spans="1:4" x14ac:dyDescent="0.25">
      <c r="A32" s="4" t="s">
        <v>36</v>
      </c>
    </row>
    <row r="34" spans="1:6" x14ac:dyDescent="0.25">
      <c r="A34" t="s">
        <v>37</v>
      </c>
      <c r="B34" s="14">
        <v>924.03</v>
      </c>
      <c r="C34" s="3" t="s">
        <v>38</v>
      </c>
    </row>
    <row r="35" spans="1:6" x14ac:dyDescent="0.25">
      <c r="A35" t="s">
        <v>39</v>
      </c>
      <c r="B35" s="11">
        <v>1145</v>
      </c>
      <c r="C35" s="3" t="s">
        <v>24</v>
      </c>
    </row>
    <row r="36" spans="1:6" x14ac:dyDescent="0.25">
      <c r="A36" t="s">
        <v>40</v>
      </c>
      <c r="B36" s="11">
        <v>30200</v>
      </c>
      <c r="C36" s="3" t="s">
        <v>41</v>
      </c>
    </row>
    <row r="37" spans="1:6" x14ac:dyDescent="0.25">
      <c r="A37" t="s">
        <v>42</v>
      </c>
      <c r="B37" s="10">
        <f>B36-B19</f>
        <v>24478</v>
      </c>
      <c r="C37" s="3"/>
    </row>
    <row r="38" spans="1:6" x14ac:dyDescent="0.25">
      <c r="A38" t="s">
        <v>43</v>
      </c>
      <c r="B38" s="11">
        <v>124991</v>
      </c>
      <c r="C38" s="3" t="s">
        <v>44</v>
      </c>
    </row>
    <row r="40" spans="1:6" x14ac:dyDescent="0.25">
      <c r="A40" s="4" t="s">
        <v>45</v>
      </c>
    </row>
    <row r="41" spans="1:6" x14ac:dyDescent="0.25">
      <c r="A41" s="3" t="s">
        <v>46</v>
      </c>
    </row>
    <row r="42" spans="1:6" x14ac:dyDescent="0.25">
      <c r="A42" s="3" t="s">
        <v>47</v>
      </c>
    </row>
    <row r="44" spans="1:6" x14ac:dyDescent="0.25">
      <c r="B44" s="15" t="s">
        <v>48</v>
      </c>
      <c r="C44" s="15" t="s">
        <v>49</v>
      </c>
      <c r="D44" s="15" t="s">
        <v>50</v>
      </c>
      <c r="E44" s="15" t="s">
        <v>51</v>
      </c>
      <c r="F44" s="15" t="s">
        <v>52</v>
      </c>
    </row>
    <row r="45" spans="1:6" x14ac:dyDescent="0.25">
      <c r="A45" s="2" t="s">
        <v>53</v>
      </c>
    </row>
    <row r="46" spans="1:6" x14ac:dyDescent="0.25">
      <c r="A46" t="s">
        <v>54</v>
      </c>
      <c r="B46" s="11">
        <v>248.75700000000001</v>
      </c>
      <c r="C46" s="11">
        <v>289.72000000000003</v>
      </c>
      <c r="D46" s="11">
        <v>270</v>
      </c>
      <c r="E46" s="11">
        <v>250</v>
      </c>
      <c r="F46" s="11">
        <v>240</v>
      </c>
    </row>
    <row r="47" spans="1:6" x14ac:dyDescent="0.25">
      <c r="A47" t="s">
        <v>55</v>
      </c>
      <c r="B47" s="11">
        <v>248.75700000000001</v>
      </c>
      <c r="C47" s="11">
        <v>289.72000000000003</v>
      </c>
      <c r="D47" s="11">
        <v>210</v>
      </c>
      <c r="E47" s="11">
        <v>165</v>
      </c>
      <c r="F47" s="11">
        <v>150</v>
      </c>
    </row>
    <row r="48" spans="1:6" x14ac:dyDescent="0.25">
      <c r="A48" t="s">
        <v>56</v>
      </c>
      <c r="B48" s="11">
        <v>248.75700000000001</v>
      </c>
      <c r="C48" s="11">
        <v>289.72000000000003</v>
      </c>
      <c r="D48" s="11">
        <v>180</v>
      </c>
      <c r="E48" s="11">
        <v>120</v>
      </c>
      <c r="F48" s="11">
        <v>100</v>
      </c>
    </row>
    <row r="49" spans="1:6" x14ac:dyDescent="0.25">
      <c r="A49" s="2" t="s">
        <v>57</v>
      </c>
      <c r="B49" s="16">
        <f>INDEX(B46:B48,$B$7)</f>
        <v>248.75700000000001</v>
      </c>
      <c r="C49" s="16">
        <f>INDEX(C46:C48,$B$7)</f>
        <v>289.72000000000003</v>
      </c>
      <c r="D49" s="16">
        <f>INDEX(D46:D48,$B$7)</f>
        <v>270</v>
      </c>
      <c r="E49" s="16">
        <f>INDEX(E46:E48,$B$7)</f>
        <v>250</v>
      </c>
      <c r="F49" s="16">
        <f>INDEX(F46:F48,$B$7)</f>
        <v>240</v>
      </c>
    </row>
    <row r="51" spans="1:6" x14ac:dyDescent="0.25">
      <c r="A51" s="2" t="s">
        <v>58</v>
      </c>
    </row>
    <row r="52" spans="1:6" x14ac:dyDescent="0.25">
      <c r="A52" t="s">
        <v>54</v>
      </c>
      <c r="B52" s="6">
        <v>0.85</v>
      </c>
      <c r="C52" s="6">
        <v>0.82</v>
      </c>
      <c r="D52" s="6">
        <v>0.72</v>
      </c>
      <c r="E52" s="6">
        <v>0.65</v>
      </c>
      <c r="F52" s="6">
        <v>0.6</v>
      </c>
    </row>
    <row r="53" spans="1:6" x14ac:dyDescent="0.25">
      <c r="A53" t="s">
        <v>55</v>
      </c>
      <c r="B53" s="6">
        <v>0.85</v>
      </c>
      <c r="C53" s="6">
        <v>0.82</v>
      </c>
      <c r="D53" s="6">
        <v>0.62</v>
      </c>
      <c r="E53" s="6">
        <v>0.48</v>
      </c>
      <c r="F53" s="6">
        <v>0.42</v>
      </c>
    </row>
    <row r="54" spans="1:6" x14ac:dyDescent="0.25">
      <c r="A54" t="s">
        <v>56</v>
      </c>
      <c r="B54" s="6">
        <v>0.85</v>
      </c>
      <c r="C54" s="6">
        <v>0.82</v>
      </c>
      <c r="D54" s="6">
        <v>0.5</v>
      </c>
      <c r="E54" s="6">
        <v>0.32</v>
      </c>
      <c r="F54" s="6">
        <v>0.25</v>
      </c>
    </row>
    <row r="55" spans="1:6" x14ac:dyDescent="0.25">
      <c r="A55" s="2" t="s">
        <v>57</v>
      </c>
      <c r="B55" s="12">
        <f>INDEX(B52:B54,$B$7)</f>
        <v>0.85</v>
      </c>
      <c r="C55" s="12">
        <f>INDEX(C52:C54,$B$7)</f>
        <v>0.82</v>
      </c>
      <c r="D55" s="12">
        <f>INDEX(D52:D54,$B$7)</f>
        <v>0.72</v>
      </c>
      <c r="E55" s="12">
        <f>INDEX(E52:E54,$B$7)</f>
        <v>0.65</v>
      </c>
      <c r="F55" s="12">
        <f>INDEX(F52:F54,$B$7)</f>
        <v>0.6</v>
      </c>
    </row>
    <row r="57" spans="1:6" x14ac:dyDescent="0.25">
      <c r="A57" s="2" t="s">
        <v>59</v>
      </c>
    </row>
    <row r="58" spans="1:6" x14ac:dyDescent="0.25">
      <c r="A58" t="s">
        <v>54</v>
      </c>
      <c r="B58" s="6">
        <v>0.22</v>
      </c>
      <c r="C58" s="6">
        <v>0.2</v>
      </c>
      <c r="D58" s="6">
        <v>0.18</v>
      </c>
      <c r="E58" s="6">
        <v>0.16</v>
      </c>
      <c r="F58" s="6">
        <v>0.15</v>
      </c>
    </row>
    <row r="59" spans="1:6" x14ac:dyDescent="0.25">
      <c r="A59" t="s">
        <v>55</v>
      </c>
      <c r="B59" s="6">
        <v>0.24</v>
      </c>
      <c r="C59" s="6">
        <v>0.22</v>
      </c>
      <c r="D59" s="6">
        <v>0.2</v>
      </c>
      <c r="E59" s="6">
        <v>0.17</v>
      </c>
      <c r="F59" s="6">
        <v>0.15</v>
      </c>
    </row>
    <row r="60" spans="1:6" x14ac:dyDescent="0.25">
      <c r="A60" t="s">
        <v>56</v>
      </c>
      <c r="B60" s="6">
        <v>0.26</v>
      </c>
      <c r="C60" s="6">
        <v>0.25</v>
      </c>
      <c r="D60" s="6">
        <v>0.23</v>
      </c>
      <c r="E60" s="6">
        <v>0.2</v>
      </c>
      <c r="F60" s="6">
        <v>0.18</v>
      </c>
    </row>
    <row r="61" spans="1:6" x14ac:dyDescent="0.25">
      <c r="A61" s="2" t="s">
        <v>57</v>
      </c>
      <c r="B61" s="12">
        <f>INDEX(B58:B60,$B$7)</f>
        <v>0.22</v>
      </c>
      <c r="C61" s="12">
        <f>INDEX(C58:C60,$B$7)</f>
        <v>0.2</v>
      </c>
      <c r="D61" s="12">
        <f>INDEX(D58:D60,$B$7)</f>
        <v>0.18</v>
      </c>
      <c r="E61" s="12">
        <f>INDEX(E58:E60,$B$7)</f>
        <v>0.16</v>
      </c>
      <c r="F61" s="12">
        <f>INDEX(F58:F60,$B$7)</f>
        <v>0.15</v>
      </c>
    </row>
    <row r="63" spans="1:6" x14ac:dyDescent="0.25">
      <c r="A63" t="s">
        <v>60</v>
      </c>
      <c r="B63" s="6">
        <v>2.5000000000000001E-2</v>
      </c>
    </row>
    <row r="64" spans="1:6" x14ac:dyDescent="0.25">
      <c r="A64" t="s">
        <v>61</v>
      </c>
      <c r="B64" s="6">
        <v>9.5000000000000001E-2</v>
      </c>
    </row>
    <row r="65" spans="1:2" x14ac:dyDescent="0.25">
      <c r="A65" t="s">
        <v>62</v>
      </c>
      <c r="B65" s="6">
        <v>0.15</v>
      </c>
    </row>
    <row r="67" spans="1:2" x14ac:dyDescent="0.25">
      <c r="A67" s="3" t="s">
        <v>63</v>
      </c>
    </row>
    <row r="68" spans="1:2" x14ac:dyDescent="0.25">
      <c r="A68" s="3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/>
  </sheetViews>
  <sheetFormatPr defaultRowHeight="15" x14ac:dyDescent="0.25"/>
  <cols>
    <col min="1" max="1" width="30" customWidth="1"/>
    <col min="2" max="6" width="14" customWidth="1"/>
  </cols>
  <sheetData>
    <row r="1" spans="1:6" ht="17.25" x14ac:dyDescent="0.3">
      <c r="A1" s="1" t="s">
        <v>65</v>
      </c>
    </row>
    <row r="2" spans="1:6" x14ac:dyDescent="0.25">
      <c r="A2" s="2" t="str">
        <f>Assumptions!C7&amp;" scenario"</f>
        <v>BULL scenario</v>
      </c>
    </row>
    <row r="4" spans="1:6" x14ac:dyDescent="0.25">
      <c r="B4" s="15" t="s">
        <v>48</v>
      </c>
      <c r="C4" s="15" t="s">
        <v>49</v>
      </c>
      <c r="D4" s="15" t="s">
        <v>50</v>
      </c>
      <c r="E4" s="15" t="s">
        <v>51</v>
      </c>
      <c r="F4" s="15" t="s">
        <v>52</v>
      </c>
    </row>
    <row r="5" spans="1:6" x14ac:dyDescent="0.25">
      <c r="A5" t="s">
        <v>66</v>
      </c>
      <c r="B5" s="10">
        <f>Assumptions!B49*1000</f>
        <v>248757</v>
      </c>
      <c r="C5" s="10">
        <f>Assumptions!C49*1000</f>
        <v>289720</v>
      </c>
      <c r="D5" s="10">
        <f>Assumptions!D49*1000</f>
        <v>270000</v>
      </c>
      <c r="E5" s="10">
        <f>Assumptions!E49*1000</f>
        <v>250000</v>
      </c>
      <c r="F5" s="10">
        <f>Assumptions!F49*1000</f>
        <v>240000</v>
      </c>
    </row>
    <row r="6" spans="1:6" x14ac:dyDescent="0.25">
      <c r="A6" t="s">
        <v>67</v>
      </c>
      <c r="B6" s="9" t="e">
        <f>IF(A5=0,"",B5/A5-1)</f>
        <v>#VALUE!</v>
      </c>
      <c r="C6" s="9">
        <f>IF(B5=0,"",C5/B5-1)</f>
        <v>0.16467074293386719</v>
      </c>
      <c r="D6" s="9">
        <f>IF(C5=0,"",D5/C5-1)</f>
        <v>-6.8065718624879201E-2</v>
      </c>
      <c r="E6" s="9">
        <f>IF(D5=0,"",E5/D5-1)</f>
        <v>-7.407407407407407E-2</v>
      </c>
      <c r="F6" s="9">
        <f>IF(E5=0,"",F5/E5-1)</f>
        <v>-4.0000000000000036E-2</v>
      </c>
    </row>
    <row r="7" spans="1:6" x14ac:dyDescent="0.25">
      <c r="A7" t="s">
        <v>58</v>
      </c>
      <c r="B7" s="9">
        <f>Assumptions!B55</f>
        <v>0.85</v>
      </c>
      <c r="C7" s="9">
        <f>Assumptions!C55</f>
        <v>0.82</v>
      </c>
      <c r="D7" s="9">
        <f>Assumptions!D55</f>
        <v>0.72</v>
      </c>
      <c r="E7" s="9">
        <f>Assumptions!E55</f>
        <v>0.65</v>
      </c>
      <c r="F7" s="9">
        <f>Assumptions!F55</f>
        <v>0.6</v>
      </c>
    </row>
    <row r="8" spans="1:6" x14ac:dyDescent="0.25">
      <c r="A8" t="s">
        <v>68</v>
      </c>
      <c r="B8" s="10">
        <f>B5*B7</f>
        <v>211443.44999999998</v>
      </c>
      <c r="C8" s="10">
        <f>C5*C7</f>
        <v>237570.4</v>
      </c>
      <c r="D8" s="10">
        <f>D5*D7</f>
        <v>194400</v>
      </c>
      <c r="E8" s="10">
        <f>E5*E7</f>
        <v>162500</v>
      </c>
      <c r="F8" s="10">
        <f>F5*F7</f>
        <v>144000</v>
      </c>
    </row>
    <row r="9" spans="1:6" x14ac:dyDescent="0.25">
      <c r="A9" t="s">
        <v>69</v>
      </c>
      <c r="B9" s="10">
        <f>-B5*Assumptions!$B$63</f>
        <v>-6218.9250000000002</v>
      </c>
      <c r="C9" s="10">
        <f>-C5*Assumptions!$B$63</f>
        <v>-7243</v>
      </c>
      <c r="D9" s="10">
        <f>-D5*Assumptions!$B$63</f>
        <v>-6750</v>
      </c>
      <c r="E9" s="10">
        <f>-E5*Assumptions!$B$63</f>
        <v>-6250</v>
      </c>
      <c r="F9" s="10">
        <f>-F5*Assumptions!$B$63</f>
        <v>-6000</v>
      </c>
    </row>
    <row r="10" spans="1:6" x14ac:dyDescent="0.25">
      <c r="A10" s="2" t="s">
        <v>70</v>
      </c>
      <c r="B10" s="16">
        <f>B8+B9</f>
        <v>205224.52499999999</v>
      </c>
      <c r="C10" s="16">
        <f>C8+C9</f>
        <v>230327.4</v>
      </c>
      <c r="D10" s="16">
        <f>D8+D9</f>
        <v>187650</v>
      </c>
      <c r="E10" s="16">
        <f>E8+E9</f>
        <v>156250</v>
      </c>
      <c r="F10" s="16">
        <f>F8+F9</f>
        <v>138000</v>
      </c>
    </row>
    <row r="11" spans="1:6" x14ac:dyDescent="0.25">
      <c r="A11" t="s">
        <v>71</v>
      </c>
      <c r="B11" s="9">
        <f>B10/B5</f>
        <v>0.82499999999999996</v>
      </c>
      <c r="C11" s="9">
        <f>C10/C5</f>
        <v>0.79499999999999993</v>
      </c>
      <c r="D11" s="9">
        <f>D10/D5</f>
        <v>0.69499999999999995</v>
      </c>
      <c r="E11" s="9">
        <f>E10/E5</f>
        <v>0.625</v>
      </c>
      <c r="F11" s="9">
        <f>F10/F5</f>
        <v>0.57499999999999996</v>
      </c>
    </row>
    <row r="12" spans="1:6" x14ac:dyDescent="0.25">
      <c r="A12" t="s">
        <v>72</v>
      </c>
      <c r="B12" s="10">
        <f>-B10*Assumptions!$B$65</f>
        <v>-30783.678749999999</v>
      </c>
      <c r="C12" s="10">
        <f>-C10*Assumptions!$B$65</f>
        <v>-34549.11</v>
      </c>
      <c r="D12" s="10">
        <f>-D10*Assumptions!$B$65</f>
        <v>-28147.5</v>
      </c>
      <c r="E12" s="10">
        <f>-E10*Assumptions!$B$65</f>
        <v>-23437.5</v>
      </c>
      <c r="F12" s="10">
        <f>-F10*Assumptions!$B$65</f>
        <v>-20700</v>
      </c>
    </row>
    <row r="13" spans="1:6" x14ac:dyDescent="0.25">
      <c r="A13" t="s">
        <v>73</v>
      </c>
      <c r="B13" s="10">
        <f>B10+B12</f>
        <v>174440.84625</v>
      </c>
      <c r="C13" s="10">
        <f>C10+C12</f>
        <v>195778.28999999998</v>
      </c>
      <c r="D13" s="10">
        <f>D10+D12</f>
        <v>159502.5</v>
      </c>
      <c r="E13" s="10">
        <f>E10+E12</f>
        <v>132812.5</v>
      </c>
      <c r="F13" s="10">
        <f>F10+F12</f>
        <v>117300</v>
      </c>
    </row>
    <row r="14" spans="1:6" x14ac:dyDescent="0.25">
      <c r="A14" t="s">
        <v>74</v>
      </c>
      <c r="B14" s="10">
        <f>B5*Assumptions!$B$64</f>
        <v>23631.915000000001</v>
      </c>
      <c r="C14" s="10">
        <f>C5*Assumptions!$B$64</f>
        <v>27523.4</v>
      </c>
      <c r="D14" s="10">
        <f>D5*Assumptions!$B$64</f>
        <v>25650</v>
      </c>
      <c r="E14" s="10">
        <f>E5*Assumptions!$B$64</f>
        <v>23750</v>
      </c>
      <c r="F14" s="10">
        <f>F5*Assumptions!$B$64</f>
        <v>22800</v>
      </c>
    </row>
    <row r="15" spans="1:6" x14ac:dyDescent="0.25">
      <c r="A15" t="s">
        <v>75</v>
      </c>
      <c r="B15" s="10">
        <f>-B5*Assumptions!B61</f>
        <v>-54726.54</v>
      </c>
      <c r="C15" s="10">
        <f>-C5*Assumptions!C61</f>
        <v>-57944</v>
      </c>
      <c r="D15" s="10">
        <f>-D5*Assumptions!D61</f>
        <v>-48600</v>
      </c>
      <c r="E15" s="10">
        <f>-E5*Assumptions!E61</f>
        <v>-40000</v>
      </c>
      <c r="F15" s="10">
        <f>-F5*Assumptions!F61</f>
        <v>-36000</v>
      </c>
    </row>
    <row r="16" spans="1:6" x14ac:dyDescent="0.25">
      <c r="A16" s="2" t="s">
        <v>76</v>
      </c>
      <c r="B16" s="16">
        <f>B13+B14+B15</f>
        <v>143346.22125</v>
      </c>
      <c r="C16" s="16">
        <f>C13+C14+C15</f>
        <v>165357.68999999997</v>
      </c>
      <c r="D16" s="16">
        <f>D13+D14+D15</f>
        <v>136552.5</v>
      </c>
      <c r="E16" s="16">
        <f>E13+E14+E15</f>
        <v>116562.5</v>
      </c>
      <c r="F16" s="16">
        <f>F13+F14+F15</f>
        <v>104100</v>
      </c>
    </row>
    <row r="17" spans="1:6" x14ac:dyDescent="0.25">
      <c r="A17" t="s">
        <v>77</v>
      </c>
      <c r="B17" s="9">
        <f>B16/B5</f>
        <v>0.57625000000000004</v>
      </c>
      <c r="C17" s="9">
        <f>C16/C5</f>
        <v>0.57074999999999987</v>
      </c>
      <c r="D17" s="9">
        <f>D16/D5</f>
        <v>0.50575000000000003</v>
      </c>
      <c r="E17" s="9">
        <f>E16/E5</f>
        <v>0.46625</v>
      </c>
      <c r="F17" s="9">
        <f>F16/F5</f>
        <v>0.43375000000000002</v>
      </c>
    </row>
    <row r="18" spans="1:6" x14ac:dyDescent="0.25">
      <c r="A18" t="s">
        <v>78</v>
      </c>
      <c r="B18" s="10">
        <v>1</v>
      </c>
      <c r="C18" s="10">
        <v>2</v>
      </c>
      <c r="D18" s="10">
        <v>3</v>
      </c>
      <c r="E18" s="10">
        <v>4</v>
      </c>
      <c r="F18" s="10">
        <v>5</v>
      </c>
    </row>
    <row r="19" spans="1:6" x14ac:dyDescent="0.25">
      <c r="A19" t="s">
        <v>79</v>
      </c>
      <c r="B19" s="17">
        <f>1/(1+Assumptions!$B$27)^B18</f>
        <v>0.88021721501500583</v>
      </c>
      <c r="C19" s="17">
        <f>1/(1+Assumptions!$B$27)^C18</f>
        <v>0.7747823456087729</v>
      </c>
      <c r="D19" s="17">
        <f>1/(1+Assumptions!$B$27)^D18</f>
        <v>0.68197675849454786</v>
      </c>
      <c r="E19" s="17">
        <f>1/(1+Assumptions!$B$27)^E18</f>
        <v>0.60028768306703206</v>
      </c>
      <c r="F19" s="17">
        <f>1/(1+Assumptions!$B$27)^F18</f>
        <v>0.52838355259707337</v>
      </c>
    </row>
    <row r="20" spans="1:6" x14ac:dyDescent="0.25">
      <c r="A20" s="2" t="s">
        <v>80</v>
      </c>
      <c r="B20" s="16">
        <f>B16*B19</f>
        <v>126175.81165159986</v>
      </c>
      <c r="C20" s="16">
        <f>C16*C19</f>
        <v>128116.21892264832</v>
      </c>
      <c r="D20" s="16">
        <f>D16*D19</f>
        <v>93125.631314326747</v>
      </c>
      <c r="E20" s="16">
        <f>E16*E19</f>
        <v>69971.033057500928</v>
      </c>
      <c r="F20" s="16">
        <f>F16*F19</f>
        <v>55004.727825355338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selection activeCell="B34" sqref="B34"/>
    </sheetView>
  </sheetViews>
  <sheetFormatPr defaultRowHeight="15" x14ac:dyDescent="0.25"/>
  <cols>
    <col min="1" max="1" width="42" customWidth="1"/>
    <col min="2" max="2" width="16" customWidth="1"/>
    <col min="3" max="6" width="14" customWidth="1"/>
  </cols>
  <sheetData>
    <row r="1" spans="1:3" ht="17.25" x14ac:dyDescent="0.3">
      <c r="A1" s="1" t="s">
        <v>81</v>
      </c>
    </row>
    <row r="2" spans="1:3" x14ac:dyDescent="0.25">
      <c r="A2" s="2" t="str">
        <f>Assumptions!C7&amp;" scenario"</f>
        <v>BULL scenario</v>
      </c>
    </row>
    <row r="4" spans="1:3" x14ac:dyDescent="0.25">
      <c r="A4" t="s">
        <v>82</v>
      </c>
      <c r="B4" s="10">
        <f>SUM('Unlevered FCF'!B20:F20)</f>
        <v>472393.42277143127</v>
      </c>
    </row>
    <row r="5" spans="1:3" x14ac:dyDescent="0.25">
      <c r="A5" t="s">
        <v>83</v>
      </c>
      <c r="B5" s="10">
        <f>'Unlevered FCF'!F16</f>
        <v>104100</v>
      </c>
    </row>
    <row r="6" spans="1:3" x14ac:dyDescent="0.25">
      <c r="A6" t="s">
        <v>84</v>
      </c>
      <c r="B6" s="9">
        <f>Assumptions!B30</f>
        <v>0.03</v>
      </c>
    </row>
    <row r="7" spans="1:3" x14ac:dyDescent="0.25">
      <c r="A7" t="s">
        <v>85</v>
      </c>
      <c r="B7" s="9">
        <f>Assumptions!B27</f>
        <v>0.13608321098667917</v>
      </c>
    </row>
    <row r="8" spans="1:3" x14ac:dyDescent="0.25">
      <c r="A8" t="s">
        <v>86</v>
      </c>
      <c r="B8" s="10">
        <f>B5*(1+B6)/(B7-B6)</f>
        <v>1010744.292171397</v>
      </c>
    </row>
    <row r="9" spans="1:3" x14ac:dyDescent="0.25">
      <c r="A9" t="s">
        <v>87</v>
      </c>
      <c r="B9" s="10">
        <f>B8/(1+B7)^5</f>
        <v>534060.65986473707</v>
      </c>
    </row>
    <row r="10" spans="1:3" x14ac:dyDescent="0.25">
      <c r="A10" s="2" t="s">
        <v>88</v>
      </c>
      <c r="B10" s="16">
        <f>B4+B9</f>
        <v>1006454.0826361683</v>
      </c>
    </row>
    <row r="11" spans="1:3" x14ac:dyDescent="0.25">
      <c r="A11" s="2" t="s">
        <v>89</v>
      </c>
      <c r="B11" s="12">
        <f>B9/B10</f>
        <v>0.530635891968257</v>
      </c>
      <c r="C11" s="3" t="s">
        <v>90</v>
      </c>
    </row>
    <row r="12" spans="1:3" x14ac:dyDescent="0.25">
      <c r="A12" t="s">
        <v>91</v>
      </c>
      <c r="B12" s="10">
        <f>Assumptions!B37</f>
        <v>24478</v>
      </c>
    </row>
    <row r="13" spans="1:3" x14ac:dyDescent="0.25">
      <c r="A13" t="s">
        <v>92</v>
      </c>
      <c r="B13" s="10">
        <f>B10+B12</f>
        <v>1030932.0826361683</v>
      </c>
    </row>
    <row r="14" spans="1:3" x14ac:dyDescent="0.25">
      <c r="A14" t="s">
        <v>39</v>
      </c>
      <c r="B14" s="10">
        <f>Assumptions!B35</f>
        <v>1145</v>
      </c>
    </row>
    <row r="15" spans="1:3" x14ac:dyDescent="0.25">
      <c r="A15" t="s">
        <v>93</v>
      </c>
      <c r="B15" s="18">
        <f>B13/B14</f>
        <v>900.37736474774533</v>
      </c>
    </row>
    <row r="16" spans="1:3" x14ac:dyDescent="0.25">
      <c r="A16" t="s">
        <v>94</v>
      </c>
      <c r="B16" s="18">
        <f>(Assumptions!B38+Assumptions!B37)/Assumptions!B35</f>
        <v>130.5406113537118</v>
      </c>
      <c r="C16" s="3" t="s">
        <v>95</v>
      </c>
    </row>
    <row r="17" spans="1:6" x14ac:dyDescent="0.25">
      <c r="A17" s="2" t="s">
        <v>96</v>
      </c>
      <c r="B17" s="19">
        <f>MAX(B15,B16)</f>
        <v>900.37736474774533</v>
      </c>
    </row>
    <row r="18" spans="1:6" x14ac:dyDescent="0.25">
      <c r="A18" t="s">
        <v>97</v>
      </c>
      <c r="B18" s="18">
        <f>Assumptions!B34</f>
        <v>924.03</v>
      </c>
    </row>
    <row r="19" spans="1:6" x14ac:dyDescent="0.25">
      <c r="A19" s="2" t="s">
        <v>98</v>
      </c>
      <c r="B19" s="12">
        <f>B17/B18-1</f>
        <v>-2.5597259020004426E-2</v>
      </c>
    </row>
    <row r="22" spans="1:6" x14ac:dyDescent="0.25">
      <c r="A22" s="4" t="s">
        <v>99</v>
      </c>
    </row>
    <row r="23" spans="1:6" x14ac:dyDescent="0.25">
      <c r="A23" s="3"/>
    </row>
    <row r="24" spans="1:6" x14ac:dyDescent="0.25">
      <c r="B24" s="20">
        <v>1.4999999999999999E-2</v>
      </c>
      <c r="C24" s="20">
        <v>0.02</v>
      </c>
      <c r="D24" s="20">
        <v>2.5000000000000001E-2</v>
      </c>
      <c r="E24" s="20">
        <v>0.03</v>
      </c>
      <c r="F24" s="20">
        <v>3.5000000000000003E-2</v>
      </c>
    </row>
    <row r="25" spans="1:6" x14ac:dyDescent="0.25">
      <c r="A25" s="20">
        <v>0.121</v>
      </c>
      <c r="B25" s="21">
        <f>(SUM('Unlevered FCF'!$B$16:$F$16)*0+(('Unlevered FCF'!$F$16*(1+0.015)/(0.121-0.015))/(1+0.121)^5+SUMPRODUCT('Unlevered FCF'!$B$16:$F$16,1/(1+0.121)^{1,2,3,4,5}))+Assumptions!$B$37)/Assumptions!$B$35</f>
        <v>940.25356750182675</v>
      </c>
      <c r="C25" s="21">
        <f>(SUM('Unlevered FCF'!$B$16:$F$16)*0+(('Unlevered FCF'!$F$16*(1+0.02)/(0.121-0.02))/(1+0.121)^5+SUMPRODUCT('Unlevered FCF'!$B$16:$F$16,1/(1+0.121)^{1,2,3,4,5}))+Assumptions!$B$37)/Assumptions!$B$35</f>
        <v>967.1420044970788</v>
      </c>
      <c r="D25" s="21">
        <f>(SUM('Unlevered FCF'!$B$16:$F$16)*0+(('Unlevered FCF'!$F$16*(1+0.025)/(0.121-0.025))/(1+0.121)^5+SUMPRODUCT('Unlevered FCF'!$B$16:$F$16,1/(1+0.121)^{1,2,3,4,5}))+Assumptions!$B$37)/Assumptions!$B$35</f>
        <v>996.83132034600249</v>
      </c>
      <c r="E25" s="21">
        <f>(SUM('Unlevered FCF'!$B$16:$F$16)*0+(('Unlevered FCF'!$F$16*(1+0.03)/(0.121-0.03))/(1+0.121)^5+SUMPRODUCT('Unlevered FCF'!$B$16:$F$16,1/(1+0.121)^{1,2,3,4,5}))+Assumptions!$B$37)/Assumptions!$B$35</f>
        <v>1029.7831983761273</v>
      </c>
      <c r="F25" s="21">
        <f>(SUM('Unlevered FCF'!$B$16:$F$16)*0+(('Unlevered FCF'!$F$16*(1+0.035)/(0.121-0.035))/(1+0.121)^5+SUMPRODUCT('Unlevered FCF'!$B$16:$F$16,1/(1+0.121)^{1,2,3,4,5}))+Assumptions!$B$37)/Assumptions!$B$35</f>
        <v>1066.5666901306847</v>
      </c>
    </row>
    <row r="26" spans="1:6" x14ac:dyDescent="0.25">
      <c r="A26" s="20">
        <v>0.13100000000000001</v>
      </c>
      <c r="B26" s="21">
        <f>(SUM('Unlevered FCF'!$B$16:$F$16)*0+(('Unlevered FCF'!$F$16*(1+0.015)/(0.131-0.015))/(1+0.131)^5+SUMPRODUCT('Unlevered FCF'!$B$16:$F$16,1/(1+0.131)^{1,2,3,4,5}))+Assumptions!$B$37)/Assumptions!$B$35</f>
        <v>868.62216925489327</v>
      </c>
      <c r="C26" s="21">
        <f>(SUM('Unlevered FCF'!$B$16:$F$16)*0+(('Unlevered FCF'!$F$16*(1+0.02)/(0.131-0.02))/(1+0.131)^5+SUMPRODUCT('Unlevered FCF'!$B$16:$F$16,1/(1+0.131)^{1,2,3,4,5}))+Assumptions!$B$37)/Assumptions!$B$35</f>
        <v>890.19881143609234</v>
      </c>
      <c r="D26" s="21">
        <f>(SUM('Unlevered FCF'!$B$16:$F$16)*0+(('Unlevered FCF'!$F$16*(1+0.025)/(0.131-0.025))/(1+0.131)^5+SUMPRODUCT('Unlevered FCF'!$B$16:$F$16,1/(1+0.131)^{1,2,3,4,5}))+Assumptions!$B$37)/Assumptions!$B$35</f>
        <v>913.81098589853661</v>
      </c>
      <c r="E26" s="21">
        <f>(SUM('Unlevered FCF'!$B$16:$F$16)*0+(('Unlevered FCF'!$F$16*(1+0.03)/(0.131-0.03))/(1+0.131)^5+SUMPRODUCT('Unlevered FCF'!$B$16:$F$16,1/(1+0.131)^{1,2,3,4,5}))+Assumptions!$B$37)/Assumptions!$B$35</f>
        <v>939.76099941666848</v>
      </c>
      <c r="F26" s="21">
        <f>(SUM('Unlevered FCF'!$B$16:$F$16)*0+(('Unlevered FCF'!$F$16*(1+0.035)/(0.131-0.035))/(1+0.131)^5+SUMPRODUCT('Unlevered FCF'!$B$16:$F$16,1/(1+0.131)^{1,2,3,4,5}))+Assumptions!$B$37)/Assumptions!$B$35</f>
        <v>968.41413934293905</v>
      </c>
    </row>
    <row r="27" spans="1:6" x14ac:dyDescent="0.25">
      <c r="A27" s="20">
        <v>0.14099999999999999</v>
      </c>
      <c r="B27" s="21">
        <f>(SUM('Unlevered FCF'!$B$16:$F$16)*0+(('Unlevered FCF'!$F$16*(1+0.015)/(0.141-0.015))/(1+0.141)^5+SUMPRODUCT('Unlevered FCF'!$B$16:$F$16,1/(1+0.141)^{1,2,3,4,5}))+Assumptions!$B$37)/Assumptions!$B$35</f>
        <v>808.1071154525074</v>
      </c>
      <c r="C27" s="21">
        <f>(SUM('Unlevered FCF'!$B$16:$F$16)*0+(('Unlevered FCF'!$F$16*(1+0.02)/(0.141-0.02))/(1+0.141)^5+SUMPRODUCT('Unlevered FCF'!$B$16:$F$16,1/(1+0.141)^{1,2,3,4,5}))+Assumptions!$B$37)/Assumptions!$B$35</f>
        <v>825.69917774079738</v>
      </c>
      <c r="D27" s="21">
        <f>(SUM('Unlevered FCF'!$B$16:$F$16)*0+(('Unlevered FCF'!$F$16*(1+0.025)/(0.141-0.025))/(1+0.141)^5+SUMPRODUCT('Unlevered FCF'!$B$16:$F$16,1/(1+0.141)^{1,2,3,4,5}))+Assumptions!$B$37)/Assumptions!$B$35</f>
        <v>844.80779712290507</v>
      </c>
      <c r="E27" s="21">
        <f>(SUM('Unlevered FCF'!$B$16:$F$16)*0+(('Unlevered FCF'!$F$16*(1+0.03)/(0.141-0.03))/(1+0.141)^5+SUMPRODUCT('Unlevered FCF'!$B$16:$F$16,1/(1+0.141)^{1,2,3,4,5}))+Assumptions!$B$37)/Assumptions!$B$35</f>
        <v>865.63791374664436</v>
      </c>
      <c r="F27" s="21">
        <f>(SUM('Unlevered FCF'!$B$16:$F$16)*0+(('Unlevered FCF'!$F$16*(1+0.035)/(0.141-0.035))/(1+0.141)^5+SUMPRODUCT('Unlevered FCF'!$B$16:$F$16,1/(1+0.141)^{1,2,3,4,5}))+Assumptions!$B$37)/Assumptions!$B$35</f>
        <v>888.43313571224576</v>
      </c>
    </row>
    <row r="28" spans="1:6" x14ac:dyDescent="0.25">
      <c r="A28" s="20">
        <v>0.151</v>
      </c>
      <c r="B28" s="21">
        <f>(SUM('Unlevered FCF'!$B$16:$F$16)*0+(('Unlevered FCF'!$F$16*(1+0.015)/(0.151-0.015))/(1+0.151)^5+SUMPRODUCT('Unlevered FCF'!$B$16:$F$16,1/(1+0.151)^{1,2,3,4,5}))+Assumptions!$B$37)/Assumptions!$B$35</f>
        <v>756.26680174429919</v>
      </c>
      <c r="C28" s="21">
        <f>(SUM('Unlevered FCF'!$B$16:$F$16)*0+(('Unlevered FCF'!$F$16*(1+0.02)/(0.151-0.02))/(1+0.151)^5+SUMPRODUCT('Unlevered FCF'!$B$16:$F$16,1/(1+0.151)^{1,2,3,4,5}))+Assumptions!$B$37)/Assumptions!$B$35</f>
        <v>770.80477108474111</v>
      </c>
      <c r="D28" s="21">
        <f>(SUM('Unlevered FCF'!$B$16:$F$16)*0+(('Unlevered FCF'!$F$16*(1+0.025)/(0.151-0.025))/(1+0.151)^5+SUMPRODUCT('Unlevered FCF'!$B$16:$F$16,1/(1+0.151)^{1,2,3,4,5}))+Assumptions!$B$37)/Assumptions!$B$35</f>
        <v>786.49654751569415</v>
      </c>
      <c r="E28" s="21">
        <f>(SUM('Unlevered FCF'!$B$16:$F$16)*0+(('Unlevered FCF'!$F$16*(1+0.03)/(0.151-0.03))/(1+0.151)^5+SUMPRODUCT('Unlevered FCF'!$B$16:$F$16,1/(1+0.151)^{1,2,3,4,5}))+Assumptions!$B$37)/Assumptions!$B$35</f>
        <v>803.48516497399885</v>
      </c>
      <c r="F28" s="21">
        <f>(SUM('Unlevered FCF'!$B$16:$F$16)*0+(('Unlevered FCF'!$F$16*(1+0.035)/(0.151-0.035))/(1+0.151)^5+SUMPRODUCT('Unlevered FCF'!$B$16:$F$16,1/(1+0.151)^{1,2,3,4,5}))+Assumptions!$B$37)/Assumptions!$B$35</f>
        <v>821.93831842008819</v>
      </c>
    </row>
    <row r="29" spans="1:6" x14ac:dyDescent="0.25">
      <c r="A29" s="20">
        <v>0.161</v>
      </c>
      <c r="B29" s="21">
        <f>(SUM('Unlevered FCF'!$B$16:$F$16)*0+(('Unlevered FCF'!$F$16*(1+0.015)/(0.161-0.015))/(1+0.161)^5+SUMPRODUCT('Unlevered FCF'!$B$16:$F$16,1/(1+0.161)^{1,2,3,4,5}))+Assumptions!$B$37)/Assumptions!$B$35</f>
        <v>711.3280319514181</v>
      </c>
      <c r="C29" s="21">
        <f>(SUM('Unlevered FCF'!$B$16:$F$16)*0+(('Unlevered FCF'!$F$16*(1+0.02)/(0.161-0.02))/(1+0.161)^5+SUMPRODUCT('Unlevered FCF'!$B$16:$F$16,1/(1+0.161)^{1,2,3,4,5}))+Assumptions!$B$37)/Assumptions!$B$35</f>
        <v>723.48189671908847</v>
      </c>
      <c r="D29" s="21">
        <f>(SUM('Unlevered FCF'!$B$16:$F$16)*0+(('Unlevered FCF'!$F$16*(1+0.025)/(0.161-0.025))/(1+0.161)^5+SUMPRODUCT('Unlevered FCF'!$B$16:$F$16,1/(1+0.161)^{1,2,3,4,5}))+Assumptions!$B$37)/Assumptions!$B$35</f>
        <v>736.52942801379334</v>
      </c>
      <c r="E29" s="21">
        <f>(SUM('Unlevered FCF'!$B$16:$F$16)*0+(('Unlevered FCF'!$F$16*(1+0.03)/(0.161-0.03))/(1+0.161)^5+SUMPRODUCT('Unlevered FCF'!$B$16:$F$16,1/(1+0.161)^{1,2,3,4,5}))+Assumptions!$B$37)/Assumptions!$B$35</f>
        <v>750.57295406381922</v>
      </c>
      <c r="F29" s="21">
        <f>(SUM('Unlevered FCF'!$B$16:$F$16)*0+(('Unlevered FCF'!$F$16*(1+0.035)/(0.161-0.035))/(1+0.161)^5+SUMPRODUCT('Unlevered FCF'!$B$16:$F$16,1/(1+0.161)^{1,2,3,4,5}))+Assumptions!$B$37)/Assumptions!$B$35</f>
        <v>765.73104567337089</v>
      </c>
    </row>
    <row r="31" spans="1:6" x14ac:dyDescent="0.25">
      <c r="A31" s="3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5" x14ac:dyDescent="0.25"/>
  <cols>
    <col min="1" max="1" width="58" customWidth="1"/>
    <col min="2" max="9" width="13" customWidth="1"/>
  </cols>
  <sheetData>
    <row r="1" spans="1:9" ht="17.25" x14ac:dyDescent="0.3">
      <c r="A1" s="1" t="s">
        <v>101</v>
      </c>
    </row>
    <row r="2" spans="1:9" x14ac:dyDescent="0.25">
      <c r="A2" s="3" t="s">
        <v>102</v>
      </c>
    </row>
    <row r="4" spans="1:9" x14ac:dyDescent="0.25">
      <c r="A4" s="15" t="s">
        <v>103</v>
      </c>
      <c r="B4" s="15" t="s">
        <v>104</v>
      </c>
      <c r="C4" s="15" t="s">
        <v>105</v>
      </c>
      <c r="D4" s="15" t="s">
        <v>106</v>
      </c>
      <c r="E4" s="15" t="s">
        <v>85</v>
      </c>
      <c r="F4" s="15" t="s">
        <v>107</v>
      </c>
      <c r="G4" s="15" t="s">
        <v>108</v>
      </c>
      <c r="H4" s="15" t="s">
        <v>109</v>
      </c>
      <c r="I4" s="15" t="s">
        <v>110</v>
      </c>
    </row>
    <row r="5" spans="1:9" x14ac:dyDescent="0.25">
      <c r="A5" t="s">
        <v>111</v>
      </c>
      <c r="B5">
        <v>248.8</v>
      </c>
      <c r="C5">
        <v>240</v>
      </c>
      <c r="D5" s="22">
        <v>0.6</v>
      </c>
      <c r="E5" s="22">
        <v>0.13600000000000001</v>
      </c>
      <c r="F5" s="22">
        <v>0.53</v>
      </c>
      <c r="G5" s="21">
        <v>900</v>
      </c>
      <c r="H5" s="6">
        <v>0.25</v>
      </c>
      <c r="I5" s="21">
        <f>G5*H5</f>
        <v>225</v>
      </c>
    </row>
    <row r="6" spans="1:9" x14ac:dyDescent="0.25">
      <c r="A6" t="s">
        <v>112</v>
      </c>
      <c r="B6">
        <v>248.8</v>
      </c>
      <c r="C6">
        <v>150</v>
      </c>
      <c r="D6" s="22">
        <v>0.42</v>
      </c>
      <c r="E6" s="22">
        <v>0.14099999999999999</v>
      </c>
      <c r="F6" s="22">
        <v>0.35</v>
      </c>
      <c r="G6" s="21">
        <v>497</v>
      </c>
      <c r="H6" s="6">
        <v>0.5</v>
      </c>
      <c r="I6" s="21">
        <f>G6*H6</f>
        <v>248.5</v>
      </c>
    </row>
    <row r="7" spans="1:9" x14ac:dyDescent="0.25">
      <c r="A7" t="s">
        <v>113</v>
      </c>
      <c r="B7">
        <v>248.8</v>
      </c>
      <c r="C7">
        <v>100</v>
      </c>
      <c r="D7" s="22">
        <v>0.25</v>
      </c>
      <c r="E7" s="22">
        <v>0.151</v>
      </c>
      <c r="F7" s="22">
        <v>0.13</v>
      </c>
      <c r="G7" s="21">
        <v>299</v>
      </c>
      <c r="H7" s="6">
        <v>0.25</v>
      </c>
      <c r="I7" s="21">
        <f>G7*H7</f>
        <v>74.75</v>
      </c>
    </row>
    <row r="9" spans="1:9" x14ac:dyDescent="0.25">
      <c r="A9" s="2" t="s">
        <v>114</v>
      </c>
      <c r="H9" s="22">
        <f>SUM(H5:H7)</f>
        <v>1</v>
      </c>
      <c r="I9" s="23">
        <f>SUM(I5:I7)</f>
        <v>548.25</v>
      </c>
    </row>
    <row r="10" spans="1:9" x14ac:dyDescent="0.25">
      <c r="A10" t="s">
        <v>115</v>
      </c>
      <c r="I10" s="21">
        <f>Assumptions!B34</f>
        <v>924.03</v>
      </c>
    </row>
    <row r="11" spans="1:9" x14ac:dyDescent="0.25">
      <c r="A11" s="2" t="s">
        <v>98</v>
      </c>
      <c r="I11" s="20">
        <f>I9/I10-1</f>
        <v>-0.40667510795104056</v>
      </c>
    </row>
    <row r="13" spans="1:9" x14ac:dyDescent="0.25">
      <c r="A13" s="2" t="s">
        <v>116</v>
      </c>
    </row>
    <row r="14" spans="1:9" x14ac:dyDescent="0.25">
      <c r="A14" s="3" t="s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tabSelected="1" workbookViewId="0"/>
  </sheetViews>
  <sheetFormatPr defaultRowHeight="15" x14ac:dyDescent="0.25"/>
  <cols>
    <col min="1" max="1" width="24" customWidth="1"/>
    <col min="2" max="2" width="22" customWidth="1"/>
    <col min="3" max="3" width="48" customWidth="1"/>
    <col min="4" max="7" width="13" customWidth="1"/>
  </cols>
  <sheetData>
    <row r="1" spans="1:7" ht="17.25" x14ac:dyDescent="0.3">
      <c r="A1" s="1" t="s">
        <v>118</v>
      </c>
    </row>
    <row r="2" spans="1:7" x14ac:dyDescent="0.25">
      <c r="A2" s="3" t="s">
        <v>119</v>
      </c>
    </row>
    <row r="4" spans="1:7" x14ac:dyDescent="0.25">
      <c r="A4" s="3" t="s">
        <v>120</v>
      </c>
    </row>
    <row r="6" spans="1:7" x14ac:dyDescent="0.25">
      <c r="A6" s="2" t="s">
        <v>121</v>
      </c>
      <c r="B6" s="20">
        <v>0.35</v>
      </c>
      <c r="C6" s="20">
        <v>0.45</v>
      </c>
      <c r="D6" s="20">
        <v>0.55000000000000004</v>
      </c>
      <c r="E6" s="20">
        <v>0.65</v>
      </c>
      <c r="F6" s="20">
        <v>0.7</v>
      </c>
      <c r="G6" s="20">
        <v>0.75</v>
      </c>
    </row>
    <row r="7" spans="1:7" x14ac:dyDescent="0.25">
      <c r="A7" s="2" t="s">
        <v>122</v>
      </c>
      <c r="B7" s="21">
        <v>288</v>
      </c>
      <c r="C7" s="21">
        <v>335</v>
      </c>
      <c r="D7" s="21">
        <v>382</v>
      </c>
      <c r="E7" s="21">
        <v>429</v>
      </c>
      <c r="F7" s="21">
        <v>452</v>
      </c>
      <c r="G7" s="21">
        <v>476</v>
      </c>
    </row>
    <row r="8" spans="1:7" x14ac:dyDescent="0.25">
      <c r="A8" s="2" t="s">
        <v>123</v>
      </c>
      <c r="B8" s="21">
        <v>316</v>
      </c>
      <c r="C8" s="21">
        <v>371</v>
      </c>
      <c r="D8" s="21">
        <v>426</v>
      </c>
      <c r="E8" s="21">
        <v>482</v>
      </c>
      <c r="F8" s="21">
        <v>509</v>
      </c>
      <c r="G8" s="21">
        <v>537</v>
      </c>
    </row>
    <row r="9" spans="1:7" x14ac:dyDescent="0.25">
      <c r="A9" s="2" t="s">
        <v>124</v>
      </c>
      <c r="B9" s="21">
        <v>343</v>
      </c>
      <c r="C9" s="21">
        <v>407</v>
      </c>
      <c r="D9" s="21">
        <v>471</v>
      </c>
      <c r="E9" s="21">
        <v>535</v>
      </c>
      <c r="F9" s="21">
        <v>567</v>
      </c>
      <c r="G9" s="21">
        <v>598</v>
      </c>
    </row>
    <row r="10" spans="1:7" x14ac:dyDescent="0.25">
      <c r="A10" s="2" t="s">
        <v>125</v>
      </c>
      <c r="B10" s="21">
        <v>371</v>
      </c>
      <c r="C10" s="21">
        <v>443</v>
      </c>
      <c r="D10" s="21">
        <v>515</v>
      </c>
      <c r="E10" s="21">
        <v>588</v>
      </c>
      <c r="F10" s="21">
        <v>624</v>
      </c>
      <c r="G10" s="21">
        <v>660</v>
      </c>
    </row>
    <row r="11" spans="1:7" x14ac:dyDescent="0.25">
      <c r="A11" s="2" t="s">
        <v>126</v>
      </c>
      <c r="B11" s="21">
        <v>399</v>
      </c>
      <c r="C11" s="21">
        <v>480</v>
      </c>
      <c r="D11" s="21">
        <v>560</v>
      </c>
      <c r="E11" s="21">
        <v>640</v>
      </c>
      <c r="F11" s="21">
        <v>681</v>
      </c>
      <c r="G11" s="21">
        <v>721</v>
      </c>
    </row>
    <row r="12" spans="1:7" x14ac:dyDescent="0.25">
      <c r="A12" s="2" t="s">
        <v>127</v>
      </c>
      <c r="B12" s="21">
        <v>427</v>
      </c>
      <c r="C12" s="21">
        <v>516</v>
      </c>
      <c r="D12" s="21">
        <v>605</v>
      </c>
      <c r="E12" s="21">
        <v>693</v>
      </c>
      <c r="F12" s="21">
        <v>738</v>
      </c>
      <c r="G12" s="21">
        <v>782</v>
      </c>
    </row>
    <row r="14" spans="1:7" x14ac:dyDescent="0.25">
      <c r="A14" s="4" t="s">
        <v>128</v>
      </c>
    </row>
    <row r="15" spans="1:7" x14ac:dyDescent="0.25">
      <c r="A15" s="2" t="s">
        <v>129</v>
      </c>
      <c r="B15" s="2" t="s">
        <v>130</v>
      </c>
    </row>
    <row r="16" spans="1:7" x14ac:dyDescent="0.25">
      <c r="A16" t="s">
        <v>124</v>
      </c>
      <c r="B16" t="s">
        <v>131</v>
      </c>
      <c r="C16" s="24" t="s">
        <v>132</v>
      </c>
    </row>
    <row r="17" spans="1:3" x14ac:dyDescent="0.25">
      <c r="A17" t="s">
        <v>125</v>
      </c>
      <c r="B17" t="s">
        <v>133</v>
      </c>
      <c r="C17" s="24" t="s">
        <v>132</v>
      </c>
    </row>
    <row r="18" spans="1:3" x14ac:dyDescent="0.25">
      <c r="A18" t="s">
        <v>126</v>
      </c>
      <c r="B18" t="s">
        <v>134</v>
      </c>
      <c r="C18" s="24" t="s">
        <v>132</v>
      </c>
    </row>
    <row r="19" spans="1:3" x14ac:dyDescent="0.25">
      <c r="A19" t="s">
        <v>127</v>
      </c>
      <c r="B19" t="s">
        <v>135</v>
      </c>
      <c r="C19" s="24" t="s">
        <v>132</v>
      </c>
    </row>
    <row r="20" spans="1:3" x14ac:dyDescent="0.25">
      <c r="A20" t="s">
        <v>136</v>
      </c>
      <c r="B20" t="s">
        <v>137</v>
      </c>
    </row>
    <row r="22" spans="1:3" x14ac:dyDescent="0.25">
      <c r="A22" s="3" t="s">
        <v>138</v>
      </c>
    </row>
    <row r="23" spans="1:3" x14ac:dyDescent="0.25">
      <c r="A23" s="2" t="s">
        <v>139</v>
      </c>
    </row>
    <row r="25" spans="1:3" x14ac:dyDescent="0.25">
      <c r="A25" s="24" t="s">
        <v>140</v>
      </c>
    </row>
    <row r="26" spans="1:3" x14ac:dyDescent="0.25">
      <c r="A26" s="3" t="s">
        <v>141</v>
      </c>
    </row>
    <row r="27" spans="1:3" x14ac:dyDescent="0.25">
      <c r="A27" s="3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Unlevered FCF</vt:lpstr>
      <vt:lpstr>DCF Valuation</vt:lpstr>
      <vt:lpstr>Scenario Summary</vt:lpstr>
      <vt:lpstr>Reverse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 Lenz</cp:lastModifiedBy>
  <dcterms:created xsi:type="dcterms:W3CDTF">2026-09-16T02:00:23Z</dcterms:created>
  <dcterms:modified xsi:type="dcterms:W3CDTF">2026-09-16T20:39:18Z</dcterms:modified>
</cp:coreProperties>
</file>